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hidePivotFieldList="1"/>
  <mc:AlternateContent xmlns:mc="http://schemas.openxmlformats.org/markup-compatibility/2006">
    <mc:Choice Requires="x15">
      <x15ac:absPath xmlns:x15ac="http://schemas.microsoft.com/office/spreadsheetml/2010/11/ac" url="D:\working\waccache\MA1PEPF000087C1\EXCELCNV\908171af-3788-4a10-941c-277388d4036d\"/>
    </mc:Choice>
  </mc:AlternateContent>
  <xr:revisionPtr revIDLastSave="0" documentId="8_{6A5B6D5C-BC31-4E11-991E-2B063804A77E}" xr6:coauthVersionLast="47" xr6:coauthVersionMax="47" xr10:uidLastSave="{00000000-0000-0000-0000-000000000000}"/>
  <bookViews>
    <workbookView xWindow="-60" yWindow="-60" windowWidth="15480" windowHeight="11640" firstSheet="5" activeTab="5" xr2:uid="{00000000-000D-0000-FFFF-FFFF00000000}"/>
  </bookViews>
  <sheets>
    <sheet name="Customers" sheetId="1" r:id="rId1"/>
    <sheet name="Products" sheetId="2" r:id="rId2"/>
    <sheet name="Salesperson" sheetId="3" r:id="rId3"/>
    <sheet name="Orders" sheetId="4" r:id="rId4"/>
    <sheet name="Pivot" sheetId="5" r:id="rId5"/>
    <sheet name="Dashboard" sheetId="6" r:id="rId6"/>
  </sheets>
  <definedNames>
    <definedName name="_xlnm.Print_Area" localSheetId="5">Dashboard!$A$1:$Q$66</definedName>
    <definedName name="Slicer_Category">#N/A</definedName>
    <definedName name="Slicer_Category1">#N/A</definedName>
    <definedName name="Slicer_Month_">#N/A</definedName>
    <definedName name="Slicer_MonthName">#N/A</definedName>
    <definedName name="Slicer_Salesperson">#N/A</definedName>
    <definedName name="Slicer_Salesperson1">#N/A</definedName>
    <definedName name="Slicer_State">#N/A</definedName>
    <definedName name="Slicer_State2">#N/A</definedName>
    <definedName name="Slicer_Year">#N/A</definedName>
    <definedName name="Slicer_Year1">#N/A</definedName>
  </definedNames>
  <calcPr calcId="191028" iterateDelta="1E-4" forceFullCalc="1"/>
  <pivotCaches>
    <pivotCache cacheId="7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6" l="1"/>
  <c r="I8" i="6"/>
  <c r="I5" i="6"/>
  <c r="U6" i="4" l="1"/>
  <c r="T6" i="4"/>
  <c r="P6" i="4"/>
  <c r="O6" i="4"/>
  <c r="Q6" i="4" s="1"/>
  <c r="N6" i="4"/>
  <c r="R6" i="4" s="1"/>
  <c r="M6" i="4"/>
  <c r="L6" i="4"/>
  <c r="K6" i="4"/>
  <c r="J6" i="4"/>
  <c r="I6" i="4"/>
  <c r="H6" i="4"/>
  <c r="G6" i="4"/>
  <c r="U5" i="4"/>
  <c r="T5" i="4"/>
  <c r="P5" i="4"/>
  <c r="O5" i="4"/>
  <c r="Q5" i="4" s="1"/>
  <c r="N5" i="4"/>
  <c r="R5" i="4" s="1"/>
  <c r="M5" i="4"/>
  <c r="L5" i="4"/>
  <c r="K5" i="4"/>
  <c r="J5" i="4"/>
  <c r="I5" i="4"/>
  <c r="H5" i="4"/>
  <c r="G5" i="4"/>
  <c r="U4" i="4"/>
  <c r="T4" i="4"/>
  <c r="P4" i="4"/>
  <c r="O4" i="4"/>
  <c r="Q4" i="4" s="1"/>
  <c r="N4" i="4"/>
  <c r="R4" i="4" s="1"/>
  <c r="M4" i="4"/>
  <c r="L4" i="4"/>
  <c r="K4" i="4"/>
  <c r="J4" i="4"/>
  <c r="I4" i="4"/>
  <c r="H4" i="4"/>
  <c r="G4" i="4"/>
  <c r="U3" i="4"/>
  <c r="T3" i="4"/>
  <c r="P3" i="4"/>
  <c r="O3" i="4"/>
  <c r="Q3" i="4" s="1"/>
  <c r="N3" i="4"/>
  <c r="R3" i="4" s="1"/>
  <c r="M3" i="4"/>
  <c r="L3" i="4"/>
  <c r="K3" i="4"/>
  <c r="J3" i="4"/>
  <c r="I3" i="4"/>
  <c r="H3" i="4"/>
  <c r="G3" i="4"/>
  <c r="U2" i="4"/>
  <c r="T2" i="4"/>
  <c r="P2" i="4"/>
  <c r="O2" i="4"/>
  <c r="Q2" i="4" s="1"/>
  <c r="N2" i="4"/>
  <c r="R2" i="4" s="1"/>
  <c r="M2" i="4"/>
  <c r="L2" i="4"/>
  <c r="K2" i="4"/>
  <c r="J2" i="4"/>
  <c r="I2" i="4"/>
  <c r="H2" i="4"/>
  <c r="G2" i="4"/>
  <c r="S4" i="4" l="1"/>
  <c r="S6" i="4"/>
  <c r="S3" i="4"/>
  <c r="A8" i="6"/>
  <c r="A5" i="6"/>
  <c r="E8" i="6"/>
  <c r="S2" i="4"/>
  <c r="M5" i="6"/>
  <c r="S5" i="4"/>
  <c r="E5" i="6" l="1"/>
</calcChain>
</file>

<file path=xl/sharedStrings.xml><?xml version="1.0" encoding="utf-8"?>
<sst xmlns="http://schemas.openxmlformats.org/spreadsheetml/2006/main" count="167" uniqueCount="107">
  <si>
    <t>Customer ID</t>
  </si>
  <si>
    <t>Customer Name</t>
  </si>
  <si>
    <t>City</t>
  </si>
  <si>
    <t>State</t>
  </si>
  <si>
    <t>C001</t>
  </si>
  <si>
    <t>Arun</t>
  </si>
  <si>
    <t>Chennai</t>
  </si>
  <si>
    <t>Tamil Nadu</t>
  </si>
  <si>
    <t>C002</t>
  </si>
  <si>
    <t>Priya</t>
  </si>
  <si>
    <t>Bangalore</t>
  </si>
  <si>
    <t>Karnataka</t>
  </si>
  <si>
    <t>C003</t>
  </si>
  <si>
    <t>Rahul</t>
  </si>
  <si>
    <t>Hyderabad</t>
  </si>
  <si>
    <t>Telangana</t>
  </si>
  <si>
    <t>C004</t>
  </si>
  <si>
    <t>Divya</t>
  </si>
  <si>
    <t>C005</t>
  </si>
  <si>
    <t>Kiran</t>
  </si>
  <si>
    <t>Kochi</t>
  </si>
  <si>
    <t>Kerala</t>
  </si>
  <si>
    <t>C006</t>
  </si>
  <si>
    <t>Meena</t>
  </si>
  <si>
    <t>C007</t>
  </si>
  <si>
    <t>Vignesh</t>
  </si>
  <si>
    <t>Madurai</t>
  </si>
  <si>
    <t>C008</t>
  </si>
  <si>
    <t>Suresh</t>
  </si>
  <si>
    <t>Coimbatore</t>
  </si>
  <si>
    <t>C009</t>
  </si>
  <si>
    <t>Asha</t>
  </si>
  <si>
    <t>Mysore</t>
  </si>
  <si>
    <t>C010</t>
  </si>
  <si>
    <t>John</t>
  </si>
  <si>
    <t>Product ID</t>
  </si>
  <si>
    <t>Product</t>
  </si>
  <si>
    <t>Category</t>
  </si>
  <si>
    <t>Cost Price</t>
  </si>
  <si>
    <t>Selling Price</t>
  </si>
  <si>
    <t>P001</t>
  </si>
  <si>
    <t>Laptop</t>
  </si>
  <si>
    <t>Electronics</t>
  </si>
  <si>
    <t>P002</t>
  </si>
  <si>
    <t>Mobile</t>
  </si>
  <si>
    <t>P003</t>
  </si>
  <si>
    <t>Printer</t>
  </si>
  <si>
    <t>P004</t>
  </si>
  <si>
    <t>Chair</t>
  </si>
  <si>
    <t>Furniture</t>
  </si>
  <si>
    <t>P005</t>
  </si>
  <si>
    <t>Table</t>
  </si>
  <si>
    <t>P006</t>
  </si>
  <si>
    <t>Pen</t>
  </si>
  <si>
    <t>Stationery</t>
  </si>
  <si>
    <t>P007</t>
  </si>
  <si>
    <t>Notebook</t>
  </si>
  <si>
    <t>P008</t>
  </si>
  <si>
    <t>Keyboard</t>
  </si>
  <si>
    <t>P009</t>
  </si>
  <si>
    <t>Mouse</t>
  </si>
  <si>
    <t>P010</t>
  </si>
  <si>
    <t>White Board</t>
  </si>
  <si>
    <t>Salesperson ID</t>
  </si>
  <si>
    <t>Salesperson</t>
  </si>
  <si>
    <t>S001</t>
  </si>
  <si>
    <t>Kumar</t>
  </si>
  <si>
    <t>S002</t>
  </si>
  <si>
    <t>Ravi</t>
  </si>
  <si>
    <t>S003</t>
  </si>
  <si>
    <t>Ajay</t>
  </si>
  <si>
    <t>S004</t>
  </si>
  <si>
    <t>Deepa</t>
  </si>
  <si>
    <t>S005</t>
  </si>
  <si>
    <t>Nisha</t>
  </si>
  <si>
    <t>Order ID</t>
  </si>
  <si>
    <t>Date</t>
  </si>
  <si>
    <t>Qty</t>
  </si>
  <si>
    <t>Year</t>
  </si>
  <si>
    <t>Month#</t>
  </si>
  <si>
    <t>Product Name</t>
  </si>
  <si>
    <t>Sales</t>
  </si>
  <si>
    <t>Cost</t>
  </si>
  <si>
    <t>Profit</t>
  </si>
  <si>
    <t>MonthName</t>
  </si>
  <si>
    <t>Quarter</t>
  </si>
  <si>
    <t>Retail Sales Analysis – Summary Tables</t>
  </si>
  <si>
    <t>Monthly Sales</t>
  </si>
  <si>
    <t>Category Sales</t>
  </si>
  <si>
    <t>State Sales</t>
  </si>
  <si>
    <t>Salesperson Sales</t>
  </si>
  <si>
    <t>Top 10 Products</t>
  </si>
  <si>
    <t>Profit by Category</t>
  </si>
  <si>
    <t>Row Labels</t>
  </si>
  <si>
    <t>Sum of Sales</t>
  </si>
  <si>
    <t>Sum of Profit</t>
  </si>
  <si>
    <t>Jan</t>
  </si>
  <si>
    <t>Grand Total</t>
  </si>
  <si>
    <t>Retail Sales Dashboard</t>
  </si>
  <si>
    <t>Total Sales</t>
  </si>
  <si>
    <t>Total Profit</t>
  </si>
  <si>
    <t>Total Orders</t>
  </si>
  <si>
    <t>Average Order Value</t>
  </si>
  <si>
    <t>Maximum Sale</t>
  </si>
  <si>
    <t>Minimum Sale</t>
  </si>
  <si>
    <t>Best Selling Product</t>
  </si>
  <si>
    <t>Best Salesperson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</si>
</sst>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dd\-mmm\-yyyy"/>
  </numFmts>
  <fonts count="9">
    <font>
      <sz val="11"/>
      <color theme="1"/>
      <name val="Calibri"/>
      <family val="2"/>
      <charset val="1"/>
    </font>
    <font>
      <sz val="11"/>
      <color rgb="FF17365D"/>
      <name val="Calibri"/>
    </font>
    <font>
      <b/>
      <sz val="11"/>
      <color rgb="FFFFFFFF"/>
      <name val="Aptos Display"/>
    </font>
    <font>
      <sz val="10"/>
      <color rgb="FF263238"/>
      <name val="Aptos"/>
    </font>
    <font>
      <b/>
      <sz val="15"/>
      <color rgb="FFFFFFFF"/>
      <name val="Aptos Display"/>
    </font>
    <font>
      <b/>
      <sz val="10"/>
      <color rgb="FFFFFFFF"/>
      <name val="Aptos Display"/>
    </font>
    <font>
      <b/>
      <sz val="19"/>
      <color rgb="FF172554"/>
      <name val="Aptos Display"/>
    </font>
    <font>
      <b/>
      <sz val="9"/>
      <color rgb="FFFFFFFF"/>
      <name val="Aptos"/>
    </font>
    <font>
      <b/>
      <sz val="14"/>
      <color rgb="FF25324A"/>
      <name val="Aptos Display"/>
    </font>
  </fonts>
  <fills count="2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0F766E"/>
      </patternFill>
    </fill>
    <fill>
      <patternFill patternType="solid">
        <fgColor rgb="FF7C3AED"/>
      </patternFill>
    </fill>
    <fill>
      <patternFill patternType="solid">
        <fgColor rgb="FFE85D75"/>
      </patternFill>
    </fill>
    <fill>
      <patternFill patternType="solid">
        <fgColor rgb="FF2563EB"/>
      </patternFill>
    </fill>
    <fill>
      <patternFill patternType="solid">
        <fgColor rgb="FF172554"/>
      </patternFill>
    </fill>
    <fill>
      <patternFill patternType="solid">
        <fgColor rgb="FFF97316"/>
      </patternFill>
    </fill>
    <fill>
      <patternFill patternType="solid">
        <fgColor rgb="FF14B8A6"/>
      </patternFill>
    </fill>
    <fill>
      <patternFill patternType="solid">
        <fgColor rgb="FFD97706"/>
      </patternFill>
    </fill>
    <fill>
      <patternFill patternType="solid">
        <fgColor rgb="FF0284C7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BF9000"/>
      </patternFill>
    </fill>
    <fill>
      <patternFill patternType="solid">
        <fgColor rgb="FFFFF2CC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  <diagonal/>
    </border>
    <border>
      <left style="thin">
        <color rgb="FFE6E8EF"/>
      </left>
      <right style="thin">
        <color rgb="FFE6E8EF"/>
      </right>
      <top style="thin">
        <color rgb="FFE6E8EF"/>
      </top>
      <bottom style="thin">
        <color rgb="FFE6E8EF"/>
      </bottom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E85D75"/>
      </left>
      <right style="thin">
        <color rgb="FFE85D75"/>
      </right>
      <top style="thin">
        <color rgb="FFE85D75"/>
      </top>
      <bottom style="thin">
        <color rgb="FFE85D75"/>
      </bottom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E6E8EF"/>
      </top>
      <bottom/>
      <diagonal/>
    </border>
    <border>
      <left/>
      <right style="thin">
        <color rgb="FFE6E8EF"/>
      </right>
      <top style="thin">
        <color rgb="FFE6E8EF"/>
      </top>
      <bottom/>
      <diagonal/>
    </border>
    <border>
      <left/>
      <right/>
      <top style="thin">
        <color rgb="FFE6E8EF"/>
      </top>
      <bottom style="thin">
        <color rgb="FFE6E8EF"/>
      </bottom>
      <diagonal/>
    </border>
    <border>
      <left/>
      <right style="thin">
        <color rgb="FFE6E8EF"/>
      </right>
      <top style="thin">
        <color rgb="FFE6E8EF"/>
      </top>
      <bottom style="thin">
        <color rgb="FFE6E8EF"/>
      </bottom>
      <diagonal/>
    </border>
    <border>
      <left style="thin">
        <color rgb="FFE6E8EF"/>
      </left>
      <right/>
      <top/>
      <bottom style="thin">
        <color rgb="FFE6E8EF"/>
      </bottom>
      <diagonal/>
    </border>
    <border>
      <left/>
      <right/>
      <top/>
      <bottom style="thin">
        <color rgb="FFE6E8EF"/>
      </bottom>
      <diagonal/>
    </border>
    <border>
      <left/>
      <right style="thin">
        <color rgb="FFE6E8EF"/>
      </right>
      <top/>
      <bottom style="thin">
        <color rgb="FFE6E8E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165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" fillId="0" borderId="0" xfId="0" applyFont="1"/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3" fillId="3" borderId="2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vertical="center"/>
    </xf>
    <xf numFmtId="0" fontId="2" fillId="14" borderId="3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vertical="center"/>
    </xf>
    <xf numFmtId="164" fontId="3" fillId="15" borderId="2" xfId="0" applyNumberFormat="1" applyFont="1" applyFill="1" applyBorder="1" applyAlignment="1">
      <alignment vertical="center"/>
    </xf>
    <xf numFmtId="0" fontId="2" fillId="16" borderId="4" xfId="0" applyFont="1" applyFill="1" applyBorder="1" applyAlignment="1">
      <alignment horizontal="center" vertical="center"/>
    </xf>
    <xf numFmtId="0" fontId="3" fillId="17" borderId="2" xfId="0" applyFont="1" applyFill="1" applyBorder="1" applyAlignment="1">
      <alignment vertical="center"/>
    </xf>
    <xf numFmtId="0" fontId="2" fillId="18" borderId="5" xfId="0" applyFont="1" applyFill="1" applyBorder="1" applyAlignment="1">
      <alignment horizontal="center" vertical="center"/>
    </xf>
    <xf numFmtId="0" fontId="3" fillId="19" borderId="2" xfId="0" applyFont="1" applyFill="1" applyBorder="1" applyAlignment="1">
      <alignment vertical="center"/>
    </xf>
    <xf numFmtId="165" fontId="3" fillId="19" borderId="2" xfId="0" applyNumberFormat="1" applyFont="1" applyFill="1" applyBorder="1" applyAlignment="1">
      <alignment vertical="center"/>
    </xf>
    <xf numFmtId="1" fontId="3" fillId="19" borderId="2" xfId="0" applyNumberFormat="1" applyFont="1" applyFill="1" applyBorder="1" applyAlignment="1">
      <alignment vertical="center"/>
    </xf>
    <xf numFmtId="164" fontId="3" fillId="19" borderId="2" xfId="0" applyNumberFormat="1" applyFont="1" applyFill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/>
    <xf numFmtId="0" fontId="3" fillId="0" borderId="13" xfId="0" applyFont="1" applyBorder="1"/>
    <xf numFmtId="0" fontId="3" fillId="20" borderId="2" xfId="0" applyFont="1" applyFill="1" applyBorder="1"/>
    <xf numFmtId="0" fontId="3" fillId="20" borderId="13" xfId="0" applyFont="1" applyFill="1" applyBorder="1"/>
    <xf numFmtId="0" fontId="8" fillId="3" borderId="2" xfId="0" applyNumberFormat="1" applyFont="1" applyFill="1" applyBorder="1" applyAlignment="1">
      <alignment horizontal="center" vertical="center"/>
    </xf>
    <xf numFmtId="0" fontId="0" fillId="0" borderId="6" xfId="0" applyNumberFormat="1" applyBorder="1" applyAlignment="1"/>
    <xf numFmtId="0" fontId="0" fillId="0" borderId="7" xfId="0" applyNumberFormat="1" applyBorder="1" applyAlignment="1"/>
    <xf numFmtId="0" fontId="0" fillId="0" borderId="10" xfId="0" applyNumberFormat="1" applyBorder="1" applyAlignment="1"/>
    <xf numFmtId="0" fontId="0" fillId="0" borderId="11" xfId="0" applyNumberFormat="1" applyBorder="1" applyAlignment="1"/>
    <xf numFmtId="0" fontId="0" fillId="0" borderId="12" xfId="0" applyNumberFormat="1" applyBorder="1" applyAlignment="1"/>
    <xf numFmtId="164" fontId="8" fillId="3" borderId="2" xfId="0" applyNumberFormat="1" applyFont="1" applyFill="1" applyBorder="1" applyAlignment="1">
      <alignment horizontal="center" vertical="center"/>
    </xf>
    <xf numFmtId="0" fontId="0" fillId="0" borderId="6" xfId="0" applyBorder="1" applyAlignment="1"/>
    <xf numFmtId="0" fontId="0" fillId="0" borderId="7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7" fillId="5" borderId="2" xfId="0" applyFont="1" applyFill="1" applyBorder="1" applyAlignment="1">
      <alignment horizontal="center" vertical="center"/>
    </xf>
    <xf numFmtId="0" fontId="0" fillId="0" borderId="8" xfId="0" applyBorder="1" applyAlignment="1"/>
    <xf numFmtId="0" fontId="0" fillId="0" borderId="9" xfId="0" applyBorder="1" applyAlignment="1"/>
    <xf numFmtId="0" fontId="7" fillId="12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1" fontId="8" fillId="3" borderId="2" xfId="0" applyNumberFormat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0" fillId="0" borderId="0" xfId="0" applyAlignment="1"/>
    <xf numFmtId="0" fontId="7" fillId="11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0C0C0"/>
      <rgbColor rgb="FF878787"/>
      <rgbColor rgb="FF5B9BD5"/>
      <rgbColor rgb="FF993366"/>
      <rgbColor rgb="FFFFF2CC"/>
      <rgbColor rgb="FFD9EAF7"/>
      <rgbColor rgb="FF660066"/>
      <rgbColor rgb="FFED7D6A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D9E2F3"/>
      <rgbColor rgb="FFF7F9FC"/>
      <rgbColor rgb="FF99CCFF"/>
      <rgbColor rgb="FFFF99CC"/>
      <rgbColor rgb="FFCC99FF"/>
      <rgbColor rgb="FFF4F8FB"/>
      <rgbColor rgb="FF4F81BD"/>
      <rgbColor rgb="FF33CCCC"/>
      <rgbColor rgb="FF99CC00"/>
      <rgbColor rgb="FFF4B942"/>
      <rgbColor rgb="FFFF9900"/>
      <rgbColor rgb="FFFF6600"/>
      <rgbColor rgb="FF8064A2"/>
      <rgbColor rgb="FF70AD47"/>
      <rgbColor rgb="FF17365D"/>
      <rgbColor rgb="FF16A085"/>
      <rgbColor rgb="FF003300"/>
      <rgbColor rgb="FF1F2937"/>
      <rgbColor rgb="FF993300"/>
      <rgbColor rgb="FF993366"/>
      <rgbColor rgb="FF1F4E78"/>
      <rgbColor rgb="FF2434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5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[VISHNU_Excel_Project.xlsx]Pivot!PivotTable1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Pivot!$B$4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Pivot!$A$5:$A$6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Pivot!$B$5:$B$6</c:f>
              <c:numCache>
                <c:formatCode>\₹#,##0</c:formatCode>
                <c:ptCount val="1"/>
                <c:pt idx="0">
                  <c:v>2800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89-45CF-93B1-7D71FDA92FA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8287360"/>
        <c:axId val="138293248"/>
      </c:lineChart>
      <c:catAx>
        <c:axId val="13828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93248"/>
        <c:crosses val="autoZero"/>
        <c:auto val="1"/>
        <c:lblAlgn val="ctr"/>
        <c:lblOffset val="100"/>
        <c:noMultiLvlLbl val="0"/>
      </c:catAx>
      <c:valAx>
        <c:axId val="13829324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crossAx val="13828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[VISHNU_Excel_Project.xlsx]Pivot!PivotTable2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Pivot!$D$5:$D$6</c:f>
              <c:strCache>
                <c:ptCount val="1"/>
                <c:pt idx="0">
                  <c:v>Furniture</c:v>
                </c:pt>
              </c:strCache>
            </c:strRef>
          </c:cat>
          <c:val>
            <c:numRef>
              <c:f>Pivot!$E$5:$E$6</c:f>
              <c:numCache>
                <c:formatCode>\₹#,##0</c:formatCode>
                <c:ptCount val="1"/>
                <c:pt idx="0">
                  <c:v>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D-4DFA-8123-16FFBDB7B4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8491008"/>
        <c:axId val="138492544"/>
      </c:barChart>
      <c:catAx>
        <c:axId val="13849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92544"/>
        <c:crosses val="autoZero"/>
        <c:auto val="1"/>
        <c:lblAlgn val="ctr"/>
        <c:lblOffset val="100"/>
        <c:noMultiLvlLbl val="0"/>
      </c:catAx>
      <c:valAx>
        <c:axId val="13849254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crossAx val="13849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[VISHNU_Excel_Project.xlsx]Pivot!PivotTable3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Pivot!$H$4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F7-43DB-870D-006207729593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20F7-43DB-870D-006207729593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20F7-43DB-870D-006207729593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Pivot!$G$5:$G$6</c:f>
              <c:strCache>
                <c:ptCount val="1"/>
                <c:pt idx="0">
                  <c:v>Kerala</c:v>
                </c:pt>
              </c:strCache>
            </c:strRef>
          </c:cat>
          <c:val>
            <c:numRef>
              <c:f>Pivot!$H$5:$H$6</c:f>
              <c:numCache>
                <c:formatCode>\₹#,##0</c:formatCode>
                <c:ptCount val="1"/>
                <c:pt idx="0">
                  <c:v>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0F7-43DB-870D-00620772959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[VISHNU_Excel_Project.xlsx]Pivot!PivotTable4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Pivot!$K$4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Pivot!$J$5:$J$6</c:f>
              <c:strCache>
                <c:ptCount val="1"/>
                <c:pt idx="0">
                  <c:v>Ravi</c:v>
                </c:pt>
              </c:strCache>
            </c:strRef>
          </c:cat>
          <c:val>
            <c:numRef>
              <c:f>Pivot!$K$5:$K$6</c:f>
              <c:numCache>
                <c:formatCode>\₹#,##0</c:formatCode>
                <c:ptCount val="1"/>
                <c:pt idx="0">
                  <c:v>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F-451C-A123-D18B2BFD2FF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8598272"/>
        <c:axId val="138599808"/>
      </c:barChart>
      <c:catAx>
        <c:axId val="13859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99808"/>
        <c:crosses val="autoZero"/>
        <c:auto val="1"/>
        <c:lblAlgn val="ctr"/>
        <c:lblOffset val="100"/>
        <c:noMultiLvlLbl val="0"/>
      </c:catAx>
      <c:valAx>
        <c:axId val="138599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crossAx val="13859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[VISHNU_Excel_Project.xlsx]Pivot!PivotTable5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Pivot!$N$4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Pivot!$M$5:$M$6</c:f>
              <c:strCache>
                <c:ptCount val="1"/>
                <c:pt idx="0">
                  <c:v>Chair</c:v>
                </c:pt>
              </c:strCache>
            </c:strRef>
          </c:cat>
          <c:val>
            <c:numRef>
              <c:f>Pivot!$N$5:$N$6</c:f>
              <c:numCache>
                <c:formatCode>\₹#,##0</c:formatCode>
                <c:ptCount val="1"/>
                <c:pt idx="0">
                  <c:v>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56-4F70-8832-253EEE20BF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8658560"/>
        <c:axId val="138660096"/>
      </c:barChart>
      <c:catAx>
        <c:axId val="138658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60096"/>
        <c:crosses val="autoZero"/>
        <c:auto val="1"/>
        <c:lblAlgn val="ctr"/>
        <c:lblOffset val="100"/>
        <c:noMultiLvlLbl val="0"/>
      </c:catAx>
      <c:valAx>
        <c:axId val="1386600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5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[VISHNU_Excel_Project.xlsx]Pivot!PivotTable6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Pivot!$Q$4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972-47A4-B99E-8ECF9430035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1972-47A4-B99E-8ECF9430035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1972-47A4-B99E-8ECF9430035E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Pivot!$P$5:$P$6</c:f>
              <c:strCache>
                <c:ptCount val="1"/>
                <c:pt idx="0">
                  <c:v>Furniture</c:v>
                </c:pt>
              </c:strCache>
            </c:strRef>
          </c:cat>
          <c:val>
            <c:numRef>
              <c:f>Pivot!$Q$5:$Q$6</c:f>
              <c:numCache>
                <c:formatCode>\₹#,##0</c:formatCode>
                <c:ptCount val="1"/>
                <c:pt idx="0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72-47A4-B99E-8ECF9430035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609600</xdr:colOff>
      <xdr:row>13</xdr:row>
      <xdr:rowOff>219075</xdr:rowOff>
    </xdr:from>
    <xdr:to>
      <xdr:col>6</xdr:col>
      <xdr:colOff>342900</xdr:colOff>
      <xdr:row>22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64802CE-D46A-4619-974D-3B93FAF2F0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266700</xdr:colOff>
      <xdr:row>13</xdr:row>
      <xdr:rowOff>209550</xdr:rowOff>
    </xdr:from>
    <xdr:to>
      <xdr:col>15</xdr:col>
      <xdr:colOff>38100</xdr:colOff>
      <xdr:row>22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A7FFB7B-D9CB-4B03-A35A-03B44659B2F1}"/>
            </a:ext>
            <a:ext uri="{147F2762-F138-4A5C-976F-8EAC2B608ADB}">
              <a16:predDERef xmlns:a16="http://schemas.microsoft.com/office/drawing/2014/main" pred="{E64802CE-D46A-4619-974D-3B93FAF2F0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600075</xdr:colOff>
      <xdr:row>23</xdr:row>
      <xdr:rowOff>57150</xdr:rowOff>
    </xdr:from>
    <xdr:to>
      <xdr:col>6</xdr:col>
      <xdr:colOff>342900</xdr:colOff>
      <xdr:row>31</xdr:row>
      <xdr:rowOff>47625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8D85EFE-5684-4387-AC66-2DC34EB5896E}"/>
            </a:ext>
            <a:ext uri="{147F2762-F138-4A5C-976F-8EAC2B608ADB}">
              <a16:predDERef xmlns:a16="http://schemas.microsoft.com/office/drawing/2014/main" pred="{EA7FFB7B-D9CB-4B03-A35A-03B44659B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276225</xdr:colOff>
      <xdr:row>22</xdr:row>
      <xdr:rowOff>209550</xdr:rowOff>
    </xdr:from>
    <xdr:to>
      <xdr:col>15</xdr:col>
      <xdr:colOff>28575</xdr:colOff>
      <xdr:row>31</xdr:row>
      <xdr:rowOff>47625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D891F29-FDDF-479B-B956-69D6BBB34C18}"/>
            </a:ext>
            <a:ext uri="{147F2762-F138-4A5C-976F-8EAC2B608ADB}">
              <a16:predDERef xmlns:a16="http://schemas.microsoft.com/office/drawing/2014/main" pred="{88D85EFE-5684-4387-AC66-2DC34EB589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600075</xdr:colOff>
      <xdr:row>32</xdr:row>
      <xdr:rowOff>0</xdr:rowOff>
    </xdr:from>
    <xdr:to>
      <xdr:col>6</xdr:col>
      <xdr:colOff>333375</xdr:colOff>
      <xdr:row>40</xdr:row>
      <xdr:rowOff>142875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6FC5979-8C86-458E-87DA-951C2086C160}"/>
            </a:ext>
            <a:ext uri="{147F2762-F138-4A5C-976F-8EAC2B608ADB}">
              <a16:predDERef xmlns:a16="http://schemas.microsoft.com/office/drawing/2014/main" pred="{9D891F29-FDDF-479B-B956-69D6BBB34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285750</xdr:colOff>
      <xdr:row>31</xdr:row>
      <xdr:rowOff>180975</xdr:rowOff>
    </xdr:from>
    <xdr:to>
      <xdr:col>15</xdr:col>
      <xdr:colOff>0</xdr:colOff>
      <xdr:row>40</xdr:row>
      <xdr:rowOff>142875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F5F8113-6A3F-4CA0-B542-479E3FCA60D5}"/>
            </a:ext>
            <a:ext uri="{147F2762-F138-4A5C-976F-8EAC2B608ADB}">
              <a16:predDERef xmlns:a16="http://schemas.microsoft.com/office/drawing/2014/main" pred="{B6FC5979-8C86-458E-87DA-951C2086C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9</xdr:row>
      <xdr:rowOff>38100</xdr:rowOff>
    </xdr:from>
    <xdr:to>
      <xdr:col>3</xdr:col>
      <xdr:colOff>0</xdr:colOff>
      <xdr:row>13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Year">
              <a:extLst>
                <a:ext uri="{FF2B5EF4-FFF2-40B4-BE49-F238E27FC236}">
                  <a16:creationId xmlns:a16="http://schemas.microsoft.com/office/drawing/2014/main" id="{4244DC00-D035-046B-4EEB-A471FCF96D8F}"/>
                </a:ext>
                <a:ext uri="{147F2762-F138-4A5C-976F-8EAC2B608ADB}">
                  <a16:predDERef xmlns:a16="http://schemas.microsoft.com/office/drawing/2014/main" pred="{EF5F8113-6A3F-4CA0-B542-479E3FCA60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38425" y="17335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38100</xdr:colOff>
      <xdr:row>9</xdr:row>
      <xdr:rowOff>38100</xdr:rowOff>
    </xdr:from>
    <xdr:to>
      <xdr:col>6</xdr:col>
      <xdr:colOff>38100</xdr:colOff>
      <xdr:row>13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onth#">
              <a:extLst>
                <a:ext uri="{FF2B5EF4-FFF2-40B4-BE49-F238E27FC236}">
                  <a16:creationId xmlns:a16="http://schemas.microsoft.com/office/drawing/2014/main" id="{9547A10E-5D76-96CE-4C56-01F6B14702E4}"/>
                </a:ext>
                <a:ext uri="{147F2762-F138-4A5C-976F-8EAC2B608ADB}">
                  <a16:predDERef xmlns:a16="http://schemas.microsoft.com/office/drawing/2014/main" pred="{4244DC00-D035-046B-4EEB-A471FCF96D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#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81825" y="49720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0</xdr:colOff>
      <xdr:row>9</xdr:row>
      <xdr:rowOff>38100</xdr:rowOff>
    </xdr:from>
    <xdr:to>
      <xdr:col>9</xdr:col>
      <xdr:colOff>0</xdr:colOff>
      <xdr:row>13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ategory">
              <a:extLst>
                <a:ext uri="{FF2B5EF4-FFF2-40B4-BE49-F238E27FC236}">
                  <a16:creationId xmlns:a16="http://schemas.microsoft.com/office/drawing/2014/main" id="{CCA5462E-F03E-D829-C00B-4BF5BD8AC32C}"/>
                </a:ext>
                <a:ext uri="{147F2762-F138-4A5C-976F-8EAC2B608ADB}">
                  <a16:predDERef xmlns:a16="http://schemas.microsoft.com/office/drawing/2014/main" pred="{9547A10E-5D76-96CE-4C56-01F6B14702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1950" y="18764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12</xdr:col>
      <xdr:colOff>0</xdr:colOff>
      <xdr:row>9</xdr:row>
      <xdr:rowOff>38100</xdr:rowOff>
    </xdr:from>
    <xdr:to>
      <xdr:col>15</xdr:col>
      <xdr:colOff>0</xdr:colOff>
      <xdr:row>13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alesperson">
              <a:extLst>
                <a:ext uri="{FF2B5EF4-FFF2-40B4-BE49-F238E27FC236}">
                  <a16:creationId xmlns:a16="http://schemas.microsoft.com/office/drawing/2014/main" id="{3B98B4C4-9CFC-84E5-8BB9-912EC968EDD5}"/>
                </a:ext>
                <a:ext uri="{147F2762-F138-4A5C-976F-8EAC2B608ADB}">
                  <a16:predDERef xmlns:a16="http://schemas.microsoft.com/office/drawing/2014/main" pred="{CCA5462E-F03E-D829-C00B-4BF5BD8AC3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per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53475" y="13906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9</xdr:col>
      <xdr:colOff>38100</xdr:colOff>
      <xdr:row>9</xdr:row>
      <xdr:rowOff>38100</xdr:rowOff>
    </xdr:from>
    <xdr:to>
      <xdr:col>12</xdr:col>
      <xdr:colOff>38100</xdr:colOff>
      <xdr:row>13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tate 1">
              <a:extLst>
                <a:ext uri="{FF2B5EF4-FFF2-40B4-BE49-F238E27FC236}">
                  <a16:creationId xmlns:a16="http://schemas.microsoft.com/office/drawing/2014/main" id="{9B7D6994-D2DA-FF77-5604-0620DB758C2D}"/>
                </a:ext>
                <a:ext uri="{147F2762-F138-4A5C-976F-8EAC2B608ADB}">
                  <a16:predDERef xmlns:a16="http://schemas.microsoft.com/office/drawing/2014/main" pred="{3B98B4C4-9CFC-84E5-8BB9-912EC968ED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71800" y="5676900"/>
              <a:ext cx="180975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Haseeb" refreshedDate="46270.929788078705" createdVersion="8" refreshedVersion="8" minRefreshableVersion="3" recordCount="5" xr:uid="{00000000-000A-0000-FFFF-FFFF00000000}">
  <cacheSource type="worksheet">
    <worksheetSource name="tblOrders"/>
  </cacheSource>
  <cacheFields count="21">
    <cacheField name="Order ID" numFmtId="0">
      <sharedItems containsSemiMixedTypes="0" containsString="0" containsNumber="1" containsInteger="1" minValue="1001" maxValue="1005"/>
    </cacheField>
    <cacheField name="Date" numFmtId="165">
      <sharedItems containsSemiMixedTypes="0" containsNonDate="0" containsDate="1" containsString="0" minDate="2026-01-01T00:00:00" maxDate="2026-01-04T00:00:00" count="3">
        <d v="2026-01-01T00:00:00"/>
        <d v="2026-01-02T00:00:00"/>
        <d v="2026-01-03T00:00:00"/>
      </sharedItems>
    </cacheField>
    <cacheField name="Customer ID" numFmtId="0">
      <sharedItems/>
    </cacheField>
    <cacheField name="Product ID" numFmtId="0">
      <sharedItems/>
    </cacheField>
    <cacheField name="Salesperson ID" numFmtId="0">
      <sharedItems/>
    </cacheField>
    <cacheField name="Qty" numFmtId="1">
      <sharedItems containsSemiMixedTypes="0" containsString="0" containsNumber="1" containsInteger="1" minValue="1" maxValue="20"/>
    </cacheField>
    <cacheField name="Customer Name" numFmtId="0">
      <sharedItems/>
    </cacheField>
    <cacheField name="City" numFmtId="0">
      <sharedItems/>
    </cacheField>
    <cacheField name="State" numFmtId="0">
      <sharedItems count="3">
        <s v="Tamil Nadu"/>
        <s v="Kerala"/>
        <s v="Telangana"/>
      </sharedItems>
    </cacheField>
    <cacheField name="Year" numFmtId="0">
      <sharedItems containsSemiMixedTypes="0" containsString="0" containsNumber="1" containsInteger="1" minValue="2026" maxValue="2026" count="1">
        <n v="2026"/>
      </sharedItems>
    </cacheField>
    <cacheField name="Month#" numFmtId="0">
      <sharedItems containsSemiMixedTypes="0" containsString="0" containsNumber="1" containsInteger="1" minValue="1" maxValue="1" count="1">
        <n v="1"/>
      </sharedItems>
    </cacheField>
    <cacheField name="Product Name" numFmtId="0">
      <sharedItems count="5">
        <s v="Mobile"/>
        <s v="Chair"/>
        <s v="Laptop"/>
        <s v="Pen"/>
        <s v="Keyboard"/>
      </sharedItems>
    </cacheField>
    <cacheField name="Category" numFmtId="0">
      <sharedItems count="3">
        <s v="Electronics"/>
        <s v="Furniture"/>
        <s v="Stationery"/>
      </sharedItems>
    </cacheField>
    <cacheField name="Cost Price" numFmtId="164">
      <sharedItems containsSemiMixedTypes="0" containsString="0" containsNumber="1" containsInteger="1" minValue="10" maxValue="45000"/>
    </cacheField>
    <cacheField name="Selling Price" numFmtId="164">
      <sharedItems containsSemiMixedTypes="0" containsString="0" containsNumber="1" containsInteger="1" minValue="15" maxValue="52000"/>
    </cacheField>
    <cacheField name="Salesperson" numFmtId="0">
      <sharedItems count="5">
        <s v="Kumar"/>
        <s v="Ravi"/>
        <s v="Ajay"/>
        <s v="Nisha"/>
        <s v="Deepa"/>
      </sharedItems>
    </cacheField>
    <cacheField name="Sales" numFmtId="164">
      <sharedItems containsSemiMixedTypes="0" containsString="0" containsNumber="1" containsInteger="1" minValue="300" maxValue="52000"/>
    </cacheField>
    <cacheField name="Cost" numFmtId="164">
      <sharedItems containsSemiMixedTypes="0" containsString="0" containsNumber="1" containsInteger="1" minValue="200" maxValue="45000"/>
    </cacheField>
    <cacheField name="Profit" numFmtId="164">
      <sharedItems containsSemiMixedTypes="0" containsString="0" containsNumber="1" containsInteger="1" minValue="100" maxValue="7000"/>
    </cacheField>
    <cacheField name="MonthName" numFmtId="0">
      <sharedItems count="1">
        <s v="Jan"/>
      </sharedItems>
    </cacheField>
    <cacheField name="Quarter" numFmtId="0">
      <sharedItems/>
    </cacheField>
  </cacheFields>
  <extLst>
    <ext xmlns:x14="http://schemas.microsoft.com/office/spreadsheetml/2009/9/main" uri="{725AE2AE-9491-48be-B2B4-4EB974FC3084}">
      <x14:pivotCacheDefinition pivotCacheId="21464201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001"/>
    <x v="0"/>
    <s v="C001"/>
    <s v="P002"/>
    <s v="S001"/>
    <n v="2"/>
    <s v="Arun"/>
    <s v="Chennai"/>
    <x v="0"/>
    <x v="0"/>
    <x v="0"/>
    <x v="0"/>
    <x v="0"/>
    <n v="15000"/>
    <n v="18000"/>
    <x v="0"/>
    <n v="36000"/>
    <n v="30000"/>
    <n v="6000"/>
    <x v="0"/>
    <s v="Q1"/>
  </r>
  <r>
    <n v="1002"/>
    <x v="0"/>
    <s v="C005"/>
    <s v="P004"/>
    <s v="S002"/>
    <n v="1"/>
    <s v="Kiran"/>
    <s v="Kochi"/>
    <x v="1"/>
    <x v="0"/>
    <x v="0"/>
    <x v="1"/>
    <x v="1"/>
    <n v="2000"/>
    <n v="2800"/>
    <x v="1"/>
    <n v="2800"/>
    <n v="2000"/>
    <n v="800"/>
    <x v="0"/>
    <s v="Q1"/>
  </r>
  <r>
    <n v="1003"/>
    <x v="1"/>
    <s v="C003"/>
    <s v="P001"/>
    <s v="S003"/>
    <n v="1"/>
    <s v="Rahul"/>
    <s v="Hyderabad"/>
    <x v="2"/>
    <x v="0"/>
    <x v="0"/>
    <x v="2"/>
    <x v="0"/>
    <n v="45000"/>
    <n v="52000"/>
    <x v="2"/>
    <n v="52000"/>
    <n v="45000"/>
    <n v="7000"/>
    <x v="0"/>
    <s v="Q1"/>
  </r>
  <r>
    <n v="1004"/>
    <x v="1"/>
    <s v="C004"/>
    <s v="P006"/>
    <s v="S005"/>
    <n v="20"/>
    <s v="Divya"/>
    <s v="Chennai"/>
    <x v="0"/>
    <x v="0"/>
    <x v="0"/>
    <x v="3"/>
    <x v="2"/>
    <n v="10"/>
    <n v="15"/>
    <x v="3"/>
    <n v="300"/>
    <n v="200"/>
    <n v="100"/>
    <x v="0"/>
    <s v="Q1"/>
  </r>
  <r>
    <n v="1005"/>
    <x v="2"/>
    <s v="C007"/>
    <s v="P008"/>
    <s v="S004"/>
    <n v="3"/>
    <s v="Vignesh"/>
    <s v="Madurai"/>
    <x v="0"/>
    <x v="0"/>
    <x v="0"/>
    <x v="4"/>
    <x v="0"/>
    <n v="700"/>
    <n v="900"/>
    <x v="4"/>
    <n v="2700"/>
    <n v="2100"/>
    <n v="600"/>
    <x v="0"/>
    <s v="Q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M4:N6" firstHeaderRow="1" firstDataRow="1" firstDataCol="1"/>
  <pivotFields count="21">
    <pivotField showAll="0"/>
    <pivotField numFmtId="165" showAll="0"/>
    <pivotField showAll="0"/>
    <pivotField showAll="0"/>
    <pivotField showAll="0"/>
    <pivotField numFmtId="1" showAll="0"/>
    <pivotField showAll="0"/>
    <pivotField showAll="0"/>
    <pivotField showAll="0">
      <items count="4">
        <item x="1"/>
        <item h="1" x="0"/>
        <item h="1" x="2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axis="axisRow" showAll="0" sortType="descending">
      <items count="6">
        <item x="1"/>
        <item x="4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1"/>
        <item x="2"/>
        <item t="default"/>
      </items>
    </pivotField>
    <pivotField numFmtId="164" showAll="0"/>
    <pivotField numFmtId="164" showAll="0"/>
    <pivotField showAll="0">
      <items count="6">
        <item x="2"/>
        <item x="4"/>
        <item x="0"/>
        <item x="3"/>
        <item x="1"/>
        <item t="default"/>
      </items>
    </pivotField>
    <pivotField dataField="1" numFmtId="164" showAll="0"/>
    <pivotField numFmtId="164" showAll="0"/>
    <pivotField numFmtId="164" showAll="0"/>
    <pivotField showAll="0">
      <items count="2">
        <item x="0"/>
        <item t="default"/>
      </items>
    </pivotField>
    <pivotField showAll="0"/>
  </pivotFields>
  <rowFields count="1">
    <field x="11"/>
  </rowFields>
  <rowItems count="2">
    <i>
      <x/>
    </i>
    <i t="grand">
      <x/>
    </i>
  </rowItems>
  <colItems count="1">
    <i/>
  </colItems>
  <dataFields count="1">
    <dataField name="Sum of Sales" fld="16" baseField="0" baseItem="0" numFmtId="16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4000000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J4:K6" firstHeaderRow="1" firstDataRow="1" firstDataCol="1"/>
  <pivotFields count="21">
    <pivotField showAll="0"/>
    <pivotField numFmtId="165" showAll="0"/>
    <pivotField showAll="0"/>
    <pivotField showAll="0"/>
    <pivotField showAll="0"/>
    <pivotField numFmtId="1" showAll="0"/>
    <pivotField showAll="0"/>
    <pivotField showAll="0"/>
    <pivotField showAll="0">
      <items count="4">
        <item x="1"/>
        <item h="1" x="0"/>
        <item h="1" x="2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numFmtId="164" showAll="0"/>
    <pivotField numFmtId="164" showAll="0"/>
    <pivotField axis="axisRow" showAll="0">
      <items count="6">
        <item x="2"/>
        <item x="4"/>
        <item x="0"/>
        <item x="3"/>
        <item x="1"/>
        <item t="default"/>
      </items>
    </pivotField>
    <pivotField dataField="1" numFmtId="164" showAll="0"/>
    <pivotField numFmtId="164" showAll="0"/>
    <pivotField numFmtId="164" showAll="0"/>
    <pivotField showAll="0">
      <items count="2">
        <item x="0"/>
        <item t="default"/>
      </items>
    </pivotField>
    <pivotField showAll="0"/>
  </pivotFields>
  <rowFields count="1">
    <field x="15"/>
  </rowFields>
  <rowItems count="2">
    <i>
      <x v="4"/>
    </i>
    <i t="grand">
      <x/>
    </i>
  </rowItems>
  <colItems count="1">
    <i/>
  </colItems>
  <dataFields count="1">
    <dataField name="Sum of Sales" fld="16" baseField="0" baseItem="0" numFmtId="16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3000000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4:H6" firstHeaderRow="1" firstDataRow="1" firstDataCol="1"/>
  <pivotFields count="21">
    <pivotField showAll="0"/>
    <pivotField numFmtId="165" showAll="0"/>
    <pivotField showAll="0"/>
    <pivotField showAll="0"/>
    <pivotField showAll="0"/>
    <pivotField numFmtId="1" showAll="0"/>
    <pivotField showAll="0"/>
    <pivotField showAll="0"/>
    <pivotField axis="axisRow" showAll="0">
      <items count="4">
        <item x="1"/>
        <item h="1" x="0"/>
        <item h="1" x="2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numFmtId="164" showAll="0"/>
    <pivotField numFmtId="164" showAll="0"/>
    <pivotField showAll="0">
      <items count="6">
        <item x="2"/>
        <item x="4"/>
        <item x="0"/>
        <item x="3"/>
        <item x="1"/>
        <item t="default"/>
      </items>
    </pivotField>
    <pivotField dataField="1" numFmtId="164" showAll="0"/>
    <pivotField numFmtId="164" showAll="0"/>
    <pivotField numFmtId="164" showAll="0"/>
    <pivotField showAll="0">
      <items count="2">
        <item x="0"/>
        <item t="default"/>
      </items>
    </pivotField>
    <pivotField showAll="0"/>
  </pivotFields>
  <rowFields count="1">
    <field x="8"/>
  </rowFields>
  <rowItems count="2">
    <i>
      <x/>
    </i>
    <i t="grand">
      <x/>
    </i>
  </rowItems>
  <colItems count="1">
    <i/>
  </colItems>
  <dataFields count="1">
    <dataField name="Sum of Sales" fld="16" baseField="0" baseItem="0" numFmtId="164"/>
  </dataFields>
  <chartFormats count="4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200000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4:E6" firstHeaderRow="1" firstDataRow="1" firstDataCol="1"/>
  <pivotFields count="21">
    <pivotField showAll="0"/>
    <pivotField numFmtId="165" showAll="0"/>
    <pivotField showAll="0"/>
    <pivotField showAll="0"/>
    <pivotField showAll="0"/>
    <pivotField numFmtId="1" showAll="0"/>
    <pivotField showAll="0"/>
    <pivotField showAll="0"/>
    <pivotField showAll="0">
      <items count="4">
        <item x="1"/>
        <item h="1" x="0"/>
        <item h="1" x="2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numFmtId="164" showAll="0"/>
    <pivotField numFmtId="164" showAll="0"/>
    <pivotField showAll="0">
      <items count="6">
        <item x="2"/>
        <item x="4"/>
        <item x="0"/>
        <item x="3"/>
        <item x="1"/>
        <item t="default"/>
      </items>
    </pivotField>
    <pivotField dataField="1" numFmtId="164" showAll="0"/>
    <pivotField numFmtId="164" showAll="0"/>
    <pivotField numFmtId="164" showAll="0"/>
    <pivotField showAll="0">
      <items count="2">
        <item x="0"/>
        <item t="default"/>
      </items>
    </pivotField>
    <pivotField showAll="0"/>
  </pivotFields>
  <rowFields count="1">
    <field x="12"/>
  </rowFields>
  <rowItems count="2">
    <i>
      <x v="1"/>
    </i>
    <i t="grand">
      <x/>
    </i>
  </rowItems>
  <colItems count="1">
    <i/>
  </colItems>
  <dataFields count="1">
    <dataField name="Sum of Sales" fld="16" baseField="0" baseItem="0" numFmtId="16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4:B6" firstHeaderRow="1" firstDataRow="1" firstDataCol="1"/>
  <pivotFields count="21">
    <pivotField showAll="0"/>
    <pivotField numFmtId="165"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1" showAll="0"/>
    <pivotField showAll="0"/>
    <pivotField showAll="0"/>
    <pivotField showAll="0">
      <items count="4">
        <item x="1"/>
        <item h="1" x="0"/>
        <item h="1" x="2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numFmtId="164" showAll="0"/>
    <pivotField numFmtId="164" showAll="0"/>
    <pivotField showAll="0">
      <items count="6">
        <item x="2"/>
        <item x="4"/>
        <item x="0"/>
        <item x="3"/>
        <item x="1"/>
        <item t="default"/>
      </items>
    </pivotField>
    <pivotField dataField="1" numFmtId="164" showAll="0"/>
    <pivotField numFmtId="164" showAll="0"/>
    <pivotField numFmtId="164" showAll="0"/>
    <pivotField axis="axisRow" showAll="0">
      <items count="2">
        <item x="0"/>
        <item t="default"/>
      </items>
    </pivotField>
    <pivotField showAll="0"/>
  </pivotFields>
  <rowFields count="1">
    <field x="19"/>
  </rowFields>
  <rowItems count="2">
    <i>
      <x/>
    </i>
    <i t="grand">
      <x/>
    </i>
  </rowItems>
  <colItems count="1">
    <i/>
  </colItems>
  <dataFields count="1">
    <dataField name="Sum of Sales" fld="16" baseField="0" baseItem="0" numFmtId="164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P4:Q6" firstHeaderRow="1" firstDataRow="1" firstDataCol="1"/>
  <pivotFields count="21">
    <pivotField showAll="0"/>
    <pivotField numFmtId="165" showAll="0"/>
    <pivotField showAll="0"/>
    <pivotField showAll="0"/>
    <pivotField showAll="0"/>
    <pivotField numFmtId="1" showAll="0"/>
    <pivotField showAll="0"/>
    <pivotField showAll="0"/>
    <pivotField showAll="0">
      <items count="4">
        <item x="1"/>
        <item h="1" x="0"/>
        <item h="1" x="2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numFmtId="164" showAll="0"/>
    <pivotField numFmtId="164" showAll="0"/>
    <pivotField showAll="0">
      <items count="6">
        <item x="2"/>
        <item x="4"/>
        <item x="0"/>
        <item x="3"/>
        <item x="1"/>
        <item t="default"/>
      </items>
    </pivotField>
    <pivotField numFmtId="164" showAll="0"/>
    <pivotField numFmtId="164" showAll="0"/>
    <pivotField dataField="1" numFmtId="164" showAll="0"/>
    <pivotField showAll="0">
      <items count="2">
        <item x="0"/>
        <item t="default"/>
      </items>
    </pivotField>
    <pivotField showAll="0"/>
  </pivotFields>
  <rowFields count="1">
    <field x="12"/>
  </rowFields>
  <rowItems count="2">
    <i>
      <x v="1"/>
    </i>
    <i t="grand">
      <x/>
    </i>
  </rowItems>
  <colItems count="1">
    <i/>
  </colItems>
  <dataFields count="1">
    <dataField name="Sum of Profit" fld="18" baseField="0" baseItem="0" numFmtId="164"/>
  </dataFields>
  <chartFormats count="4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1" xr10:uid="{7DCC438A-71E3-46A9-A7D9-19DA89D95634}" sourceName="Year">
  <pivotTables>
    <pivotTable tabId="5" name="PivotTable1"/>
    <pivotTable tabId="5" name="PivotTable6"/>
    <pivotTable tabId="5" name="PivotTable4"/>
    <pivotTable tabId="5" name="PivotTable3"/>
    <pivotTable tabId="5" name="PivotTable5"/>
    <pivotTable tabId="5" name="PivotTable2"/>
  </pivotTables>
  <data>
    <tabular pivotCacheId="2146420192">
      <items count="1"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_" xr10:uid="{64E8338C-7BBA-4EE0-B9CD-25B6713BD846}" sourceName="Month#">
  <pivotTables>
    <pivotTable tabId="5" name="PivotTable1"/>
    <pivotTable tabId="5" name="PivotTable6"/>
    <pivotTable tabId="5" name="PivotTable5"/>
    <pivotTable tabId="5" name="PivotTable3"/>
    <pivotTable tabId="5" name="PivotTable2"/>
    <pivotTable tabId="5" name="PivotTable4"/>
  </pivotTables>
  <data>
    <tabular pivotCacheId="2146420192">
      <items count="1"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1" xr10:uid="{12DB6C71-E8AE-49C1-93E7-0515A08D7B94}" sourceName="Category">
  <pivotTables>
    <pivotTable tabId="5" name="PivotTable1"/>
    <pivotTable tabId="5" name="PivotTable6"/>
    <pivotTable tabId="5" name="PivotTable5"/>
    <pivotTable tabId="5" name="PivotTable4"/>
    <pivotTable tabId="5" name="PivotTable3"/>
    <pivotTable tabId="5" name="PivotTable2"/>
  </pivotTables>
  <data>
    <tabular pivotCacheId="2146420192">
      <items count="3">
        <i x="1" s="1"/>
        <i x="0" s="1" nd="1"/>
        <i x="2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alesperson1" xr10:uid="{DD06CCE6-7D7D-40D7-8DA1-23287B4F81F8}" sourceName="Salesperson">
  <pivotTables>
    <pivotTable tabId="5" name="PivotTable1"/>
    <pivotTable tabId="5" name="PivotTable6"/>
    <pivotTable tabId="5" name="PivotTable5"/>
    <pivotTable tabId="5" name="PivotTable3"/>
    <pivotTable tabId="5" name="PivotTable4"/>
    <pivotTable tabId="5" name="PivotTable2"/>
  </pivotTables>
  <data>
    <tabular pivotCacheId="2146420192">
      <items count="5">
        <i x="1" s="1"/>
        <i x="2" s="1" nd="1"/>
        <i x="4" s="1" nd="1"/>
        <i x="0" s="1" nd="1"/>
        <i x="3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e2" xr10:uid="{CF65FA9A-8B34-473D-BA22-B0F5B2521FE2}" sourceName="State">
  <pivotTables>
    <pivotTable tabId="5" name="PivotTable3"/>
    <pivotTable tabId="5" name="PivotTable1"/>
    <pivotTable tabId="5" name="PivotTable6"/>
    <pivotTable tabId="5" name="PivotTable5"/>
    <pivotTable tabId="5" name="PivotTable2"/>
    <pivotTable tabId="5" name="PivotTable4"/>
  </pivotTables>
  <data>
    <tabular pivotCacheId="2146420192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F8515629-E3D0-4F61-AD81-B87361CAA5F7}" cache="Slicer_Year1" caption="Year" rowHeight="228600"/>
  <slicer name="Month#" xr10:uid="{B22F850D-2613-4234-93D4-1A1620175D19}" cache="Slicer_Month_" caption="Month#" rowHeight="228600"/>
  <slicer name="Category" xr10:uid="{682C5777-2D45-4F03-AEBF-BFACD9972A16}" cache="Slicer_Category1" caption="Category" rowHeight="228600"/>
  <slicer name="Salesperson" xr10:uid="{80706C40-D63D-4CC2-B582-C646A154DC45}" cache="Slicer_Salesperson1" caption="Salesperson" rowHeight="228600"/>
  <slicer name="State 1" xr10:uid="{FB9EEE2E-9DE5-4344-9D6B-976303A741CD}" cache="Slicer_State2" caption="Stat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ustomers" displayName="tblCustomers" ref="A1:D11">
  <autoFilter ref="A1:D11" xr:uid="{00000000-0009-0000-0100-000001000000}"/>
  <tableColumns count="4">
    <tableColumn id="1" xr3:uid="{00000000-0010-0000-0000-000001000000}" name="Customer ID"/>
    <tableColumn id="2" xr3:uid="{00000000-0010-0000-0000-000002000000}" name="Customer Name"/>
    <tableColumn id="3" xr3:uid="{00000000-0010-0000-0000-000003000000}" name="City"/>
    <tableColumn id="4" xr3:uid="{00000000-0010-0000-0000-000004000000}" name="St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oducts" displayName="tblProducts" ref="A1:E11">
  <autoFilter ref="A1:E11" xr:uid="{00000000-0009-0000-0100-000002000000}"/>
  <tableColumns count="5">
    <tableColumn id="1" xr3:uid="{00000000-0010-0000-0100-000001000000}" name="Product ID"/>
    <tableColumn id="2" xr3:uid="{00000000-0010-0000-0100-000002000000}" name="Product"/>
    <tableColumn id="3" xr3:uid="{00000000-0010-0000-0100-000003000000}" name="Category"/>
    <tableColumn id="4" xr3:uid="{00000000-0010-0000-0100-000004000000}" name="Cost Price"/>
    <tableColumn id="5" xr3:uid="{00000000-0010-0000-0100-000005000000}" name="Selling 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alespersons" displayName="tblSalespersons" ref="A1:B6">
  <autoFilter ref="A1:B6" xr:uid="{00000000-0009-0000-0100-000003000000}"/>
  <tableColumns count="2">
    <tableColumn id="1" xr3:uid="{00000000-0010-0000-0200-000001000000}" name="Salesperson ID"/>
    <tableColumn id="2" xr3:uid="{00000000-0010-0000-0200-000002000000}" name="Salespers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Orders" displayName="tblOrders" ref="A1:U6">
  <autoFilter ref="A1:U6" xr:uid="{00000000-0009-0000-0100-000004000000}"/>
  <tableColumns count="21">
    <tableColumn id="1" xr3:uid="{00000000-0010-0000-0300-000001000000}" name="Order ID"/>
    <tableColumn id="2" xr3:uid="{00000000-0010-0000-0300-000002000000}" name="Date"/>
    <tableColumn id="3" xr3:uid="{00000000-0010-0000-0300-000003000000}" name="Customer ID"/>
    <tableColumn id="4" xr3:uid="{00000000-0010-0000-0300-000004000000}" name="Product ID"/>
    <tableColumn id="5" xr3:uid="{00000000-0010-0000-0300-000005000000}" name="Salesperson ID"/>
    <tableColumn id="6" xr3:uid="{00000000-0010-0000-0300-000006000000}" name="Qty"/>
    <tableColumn id="7" xr3:uid="{00000000-0010-0000-0300-000007000000}" name="Customer Name"/>
    <tableColumn id="8" xr3:uid="{00000000-0010-0000-0300-000008000000}" name="City"/>
    <tableColumn id="9" xr3:uid="{00000000-0010-0000-0300-000009000000}" name="State"/>
    <tableColumn id="10" xr3:uid="{00000000-0010-0000-0300-00000A000000}" name="Year"/>
    <tableColumn id="11" xr3:uid="{00000000-0010-0000-0300-00000B000000}" name="Month#"/>
    <tableColumn id="12" xr3:uid="{00000000-0010-0000-0300-00000C000000}" name="Product Name"/>
    <tableColumn id="13" xr3:uid="{00000000-0010-0000-0300-00000D000000}" name="Category"/>
    <tableColumn id="14" xr3:uid="{00000000-0010-0000-0300-00000E000000}" name="Cost Price"/>
    <tableColumn id="15" xr3:uid="{00000000-0010-0000-0300-00000F000000}" name="Selling Price"/>
    <tableColumn id="16" xr3:uid="{00000000-0010-0000-0300-000010000000}" name="Salesperson"/>
    <tableColumn id="17" xr3:uid="{00000000-0010-0000-0300-000011000000}" name="Sales"/>
    <tableColumn id="18" xr3:uid="{00000000-0010-0000-0300-000012000000}" name="Cost"/>
    <tableColumn id="19" xr3:uid="{00000000-0010-0000-0300-000013000000}" name="Profit"/>
    <tableColumn id="20" xr3:uid="{00000000-0010-0000-0300-000014000000}" name="MonthName"/>
    <tableColumn id="21" xr3:uid="{00000000-0010-0000-0300-000015000000}" name="Quar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B9BD5"/>
  </sheetPr>
  <dimension ref="A1:D11"/>
  <sheetViews>
    <sheetView workbookViewId="0">
      <pane ySplit="1" topLeftCell="A2" activePane="bottomLeft" state="frozen"/>
      <selection pane="bottomLeft"/>
    </sheetView>
  </sheetViews>
  <sheetFormatPr defaultColWidth="8.7109375" defaultRowHeight="14.25" customHeight="1"/>
  <cols>
    <col min="1" max="1" width="14" customWidth="1"/>
    <col min="2" max="2" width="20" customWidth="1"/>
    <col min="3" max="4" width="18" customWidth="1"/>
  </cols>
  <sheetData>
    <row r="1" spans="1:4" ht="25.9" customHeight="1">
      <c r="A1" s="12" t="s">
        <v>0</v>
      </c>
      <c r="B1" s="12" t="s">
        <v>1</v>
      </c>
      <c r="C1" s="12" t="s">
        <v>2</v>
      </c>
      <c r="D1" s="12" t="s">
        <v>3</v>
      </c>
    </row>
    <row r="2" spans="1:4" ht="22.15" customHeight="1">
      <c r="A2" s="13" t="s">
        <v>4</v>
      </c>
      <c r="B2" s="13" t="s">
        <v>5</v>
      </c>
      <c r="C2" s="13" t="s">
        <v>6</v>
      </c>
      <c r="D2" s="13" t="s">
        <v>7</v>
      </c>
    </row>
    <row r="3" spans="1:4" ht="22.15" customHeight="1">
      <c r="A3" s="13" t="s">
        <v>8</v>
      </c>
      <c r="B3" s="13" t="s">
        <v>9</v>
      </c>
      <c r="C3" s="13" t="s">
        <v>10</v>
      </c>
      <c r="D3" s="13" t="s">
        <v>11</v>
      </c>
    </row>
    <row r="4" spans="1:4" ht="22.15" customHeight="1">
      <c r="A4" s="13" t="s">
        <v>12</v>
      </c>
      <c r="B4" s="13" t="s">
        <v>13</v>
      </c>
      <c r="C4" s="13" t="s">
        <v>14</v>
      </c>
      <c r="D4" s="13" t="s">
        <v>15</v>
      </c>
    </row>
    <row r="5" spans="1:4" ht="22.15" customHeight="1">
      <c r="A5" s="13" t="s">
        <v>16</v>
      </c>
      <c r="B5" s="13" t="s">
        <v>17</v>
      </c>
      <c r="C5" s="13" t="s">
        <v>6</v>
      </c>
      <c r="D5" s="13" t="s">
        <v>7</v>
      </c>
    </row>
    <row r="6" spans="1:4" ht="22.15" customHeight="1">
      <c r="A6" s="13" t="s">
        <v>18</v>
      </c>
      <c r="B6" s="13" t="s">
        <v>19</v>
      </c>
      <c r="C6" s="13" t="s">
        <v>20</v>
      </c>
      <c r="D6" s="13" t="s">
        <v>21</v>
      </c>
    </row>
    <row r="7" spans="1:4" ht="22.15" customHeight="1">
      <c r="A7" s="13" t="s">
        <v>22</v>
      </c>
      <c r="B7" s="13" t="s">
        <v>23</v>
      </c>
      <c r="C7" s="13" t="s">
        <v>10</v>
      </c>
      <c r="D7" s="13" t="s">
        <v>11</v>
      </c>
    </row>
    <row r="8" spans="1:4" ht="22.15" customHeight="1">
      <c r="A8" s="13" t="s">
        <v>24</v>
      </c>
      <c r="B8" s="13" t="s">
        <v>25</v>
      </c>
      <c r="C8" s="13" t="s">
        <v>26</v>
      </c>
      <c r="D8" s="13" t="s">
        <v>7</v>
      </c>
    </row>
    <row r="9" spans="1:4" ht="22.15" customHeight="1">
      <c r="A9" s="13" t="s">
        <v>27</v>
      </c>
      <c r="B9" s="13" t="s">
        <v>28</v>
      </c>
      <c r="C9" s="13" t="s">
        <v>29</v>
      </c>
      <c r="D9" s="13" t="s">
        <v>7</v>
      </c>
    </row>
    <row r="10" spans="1:4" ht="22.15" customHeight="1">
      <c r="A10" s="13" t="s">
        <v>30</v>
      </c>
      <c r="B10" s="13" t="s">
        <v>31</v>
      </c>
      <c r="C10" s="13" t="s">
        <v>32</v>
      </c>
      <c r="D10" s="13" t="s">
        <v>11</v>
      </c>
    </row>
    <row r="11" spans="1:4" ht="22.15" customHeight="1">
      <c r="A11" s="13" t="s">
        <v>33</v>
      </c>
      <c r="B11" s="13" t="s">
        <v>34</v>
      </c>
      <c r="C11" s="13" t="s">
        <v>20</v>
      </c>
      <c r="D11" s="13" t="s">
        <v>21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E11"/>
  <sheetViews>
    <sheetView workbookViewId="0">
      <pane ySplit="1" topLeftCell="A2" activePane="bottomLeft" state="frozen"/>
      <selection pane="bottomLeft"/>
    </sheetView>
  </sheetViews>
  <sheetFormatPr defaultColWidth="8.7109375" defaultRowHeight="14.25" customHeight="1"/>
  <cols>
    <col min="1" max="1" width="14" customWidth="1"/>
    <col min="2" max="2" width="20" customWidth="1"/>
    <col min="3" max="3" width="18" customWidth="1"/>
    <col min="4" max="4" width="15" customWidth="1"/>
    <col min="5" max="5" width="16" customWidth="1"/>
  </cols>
  <sheetData>
    <row r="1" spans="1:5" ht="25.9" customHeight="1">
      <c r="A1" s="14" t="s">
        <v>35</v>
      </c>
      <c r="B1" s="14" t="s">
        <v>36</v>
      </c>
      <c r="C1" s="14" t="s">
        <v>37</v>
      </c>
      <c r="D1" s="14" t="s">
        <v>38</v>
      </c>
      <c r="E1" s="14" t="s">
        <v>39</v>
      </c>
    </row>
    <row r="2" spans="1:5" ht="22.15" customHeight="1">
      <c r="A2" s="15" t="s">
        <v>40</v>
      </c>
      <c r="B2" s="15" t="s">
        <v>41</v>
      </c>
      <c r="C2" s="15" t="s">
        <v>42</v>
      </c>
      <c r="D2" s="16">
        <v>45000</v>
      </c>
      <c r="E2" s="16">
        <v>52000</v>
      </c>
    </row>
    <row r="3" spans="1:5" ht="22.15" customHeight="1">
      <c r="A3" s="15" t="s">
        <v>43</v>
      </c>
      <c r="B3" s="15" t="s">
        <v>44</v>
      </c>
      <c r="C3" s="15" t="s">
        <v>42</v>
      </c>
      <c r="D3" s="16">
        <v>15000</v>
      </c>
      <c r="E3" s="16">
        <v>18000</v>
      </c>
    </row>
    <row r="4" spans="1:5" ht="22.15" customHeight="1">
      <c r="A4" s="15" t="s">
        <v>45</v>
      </c>
      <c r="B4" s="15" t="s">
        <v>46</v>
      </c>
      <c r="C4" s="15" t="s">
        <v>42</v>
      </c>
      <c r="D4" s="16">
        <v>8000</v>
      </c>
      <c r="E4" s="16">
        <v>9500</v>
      </c>
    </row>
    <row r="5" spans="1:5" ht="22.15" customHeight="1">
      <c r="A5" s="15" t="s">
        <v>47</v>
      </c>
      <c r="B5" s="15" t="s">
        <v>48</v>
      </c>
      <c r="C5" s="15" t="s">
        <v>49</v>
      </c>
      <c r="D5" s="16">
        <v>2000</v>
      </c>
      <c r="E5" s="16">
        <v>2800</v>
      </c>
    </row>
    <row r="6" spans="1:5" ht="22.15" customHeight="1">
      <c r="A6" s="15" t="s">
        <v>50</v>
      </c>
      <c r="B6" s="15" t="s">
        <v>51</v>
      </c>
      <c r="C6" s="15" t="s">
        <v>49</v>
      </c>
      <c r="D6" s="16">
        <v>4000</v>
      </c>
      <c r="E6" s="16">
        <v>5200</v>
      </c>
    </row>
    <row r="7" spans="1:5" ht="22.15" customHeight="1">
      <c r="A7" s="15" t="s">
        <v>52</v>
      </c>
      <c r="B7" s="15" t="s">
        <v>53</v>
      </c>
      <c r="C7" s="15" t="s">
        <v>54</v>
      </c>
      <c r="D7" s="16">
        <v>10</v>
      </c>
      <c r="E7" s="16">
        <v>15</v>
      </c>
    </row>
    <row r="8" spans="1:5" ht="22.15" customHeight="1">
      <c r="A8" s="15" t="s">
        <v>55</v>
      </c>
      <c r="B8" s="15" t="s">
        <v>56</v>
      </c>
      <c r="C8" s="15" t="s">
        <v>54</v>
      </c>
      <c r="D8" s="16">
        <v>35</v>
      </c>
      <c r="E8" s="16">
        <v>50</v>
      </c>
    </row>
    <row r="9" spans="1:5" ht="22.15" customHeight="1">
      <c r="A9" s="15" t="s">
        <v>57</v>
      </c>
      <c r="B9" s="15" t="s">
        <v>58</v>
      </c>
      <c r="C9" s="15" t="s">
        <v>42</v>
      </c>
      <c r="D9" s="16">
        <v>700</v>
      </c>
      <c r="E9" s="16">
        <v>900</v>
      </c>
    </row>
    <row r="10" spans="1:5" ht="22.15" customHeight="1">
      <c r="A10" s="15" t="s">
        <v>59</v>
      </c>
      <c r="B10" s="15" t="s">
        <v>60</v>
      </c>
      <c r="C10" s="15" t="s">
        <v>42</v>
      </c>
      <c r="D10" s="16">
        <v>350</v>
      </c>
      <c r="E10" s="16">
        <v>500</v>
      </c>
    </row>
    <row r="11" spans="1:5" ht="22.15" customHeight="1">
      <c r="A11" s="15" t="s">
        <v>61</v>
      </c>
      <c r="B11" s="15" t="s">
        <v>62</v>
      </c>
      <c r="C11" s="15" t="s">
        <v>49</v>
      </c>
      <c r="D11" s="16">
        <v>1800</v>
      </c>
      <c r="E11" s="16">
        <v>2500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B6"/>
  <sheetViews>
    <sheetView workbookViewId="0">
      <pane ySplit="1" topLeftCell="A2" activePane="bottomLeft" state="frozen"/>
      <selection pane="bottomLeft" activeCell="F5" sqref="F5"/>
    </sheetView>
  </sheetViews>
  <sheetFormatPr defaultColWidth="8.7109375" defaultRowHeight="14.25" customHeight="1"/>
  <cols>
    <col min="1" max="1" width="18" customWidth="1"/>
    <col min="2" max="2" width="22" customWidth="1"/>
  </cols>
  <sheetData>
    <row r="1" spans="1:2" ht="25.9" customHeight="1">
      <c r="A1" s="17" t="s">
        <v>63</v>
      </c>
      <c r="B1" s="17" t="s">
        <v>64</v>
      </c>
    </row>
    <row r="2" spans="1:2" ht="22.15" customHeight="1">
      <c r="A2" s="18" t="s">
        <v>65</v>
      </c>
      <c r="B2" s="18" t="s">
        <v>66</v>
      </c>
    </row>
    <row r="3" spans="1:2" ht="22.15" customHeight="1">
      <c r="A3" s="18" t="s">
        <v>67</v>
      </c>
      <c r="B3" s="18" t="s">
        <v>68</v>
      </c>
    </row>
    <row r="4" spans="1:2" ht="22.15" customHeight="1">
      <c r="A4" s="18" t="s">
        <v>69</v>
      </c>
      <c r="B4" s="18" t="s">
        <v>70</v>
      </c>
    </row>
    <row r="5" spans="1:2" ht="22.15" customHeight="1">
      <c r="A5" s="18" t="s">
        <v>71</v>
      </c>
      <c r="B5" s="18" t="s">
        <v>72</v>
      </c>
    </row>
    <row r="6" spans="1:2" ht="22.15" customHeight="1">
      <c r="A6" s="18" t="s">
        <v>73</v>
      </c>
      <c r="B6" s="18" t="s">
        <v>74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U7"/>
  <sheetViews>
    <sheetView workbookViewId="0">
      <pane ySplit="1" topLeftCell="A2" activePane="bottomLeft" state="frozen"/>
      <selection pane="bottomLeft" activeCell="C3" sqref="C3"/>
      <selection sqref="A1:Q2"/>
    </sheetView>
  </sheetViews>
  <sheetFormatPr defaultColWidth="8.7109375" defaultRowHeight="14.25" customHeight="1"/>
  <cols>
    <col min="1" max="1" width="11" customWidth="1"/>
    <col min="2" max="2" width="13" customWidth="1"/>
    <col min="3" max="4" width="12" customWidth="1"/>
    <col min="5" max="5" width="15" customWidth="1"/>
    <col min="6" max="6" width="9" customWidth="1"/>
    <col min="7" max="7" width="18" customWidth="1"/>
    <col min="8" max="9" width="15" customWidth="1"/>
    <col min="10" max="11" width="9" customWidth="1"/>
    <col min="12" max="12" width="18" customWidth="1"/>
    <col min="13" max="13" width="15" customWidth="1"/>
    <col min="14" max="14" width="14" customWidth="1"/>
    <col min="15" max="16" width="15" customWidth="1"/>
    <col min="17" max="19" width="14" customWidth="1"/>
    <col min="20" max="21" width="11" customWidth="1"/>
    <col min="22" max="23" width="12" customWidth="1"/>
  </cols>
  <sheetData>
    <row r="1" spans="1:21" ht="25.9" customHeight="1">
      <c r="A1" s="19" t="s">
        <v>75</v>
      </c>
      <c r="B1" s="19" t="s">
        <v>76</v>
      </c>
      <c r="C1" s="19" t="s">
        <v>0</v>
      </c>
      <c r="D1" s="19" t="s">
        <v>35</v>
      </c>
      <c r="E1" s="19" t="s">
        <v>63</v>
      </c>
      <c r="F1" s="19" t="s">
        <v>77</v>
      </c>
      <c r="G1" s="19" t="s">
        <v>1</v>
      </c>
      <c r="H1" s="19" t="s">
        <v>2</v>
      </c>
      <c r="I1" s="19" t="s">
        <v>3</v>
      </c>
      <c r="J1" s="19" t="s">
        <v>78</v>
      </c>
      <c r="K1" s="19" t="s">
        <v>79</v>
      </c>
      <c r="L1" s="19" t="s">
        <v>80</v>
      </c>
      <c r="M1" s="19" t="s">
        <v>37</v>
      </c>
      <c r="N1" s="19" t="s">
        <v>38</v>
      </c>
      <c r="O1" s="19" t="s">
        <v>39</v>
      </c>
      <c r="P1" s="19" t="s">
        <v>64</v>
      </c>
      <c r="Q1" s="19" t="s">
        <v>81</v>
      </c>
      <c r="R1" s="19" t="s">
        <v>82</v>
      </c>
      <c r="S1" s="19" t="s">
        <v>83</v>
      </c>
      <c r="T1" s="19" t="s">
        <v>84</v>
      </c>
      <c r="U1" s="19" t="s">
        <v>85</v>
      </c>
    </row>
    <row r="2" spans="1:21" ht="22.15" customHeight="1">
      <c r="A2" s="20">
        <v>1001</v>
      </c>
      <c r="B2" s="21">
        <v>46023</v>
      </c>
      <c r="C2" s="20" t="s">
        <v>4</v>
      </c>
      <c r="D2" s="20" t="s">
        <v>43</v>
      </c>
      <c r="E2" s="20" t="s">
        <v>65</v>
      </c>
      <c r="F2" s="22">
        <v>2</v>
      </c>
      <c r="G2" s="20" t="str">
        <f>IFERROR(INDEX(Customers!$B$2:$B$11,MATCH(C2,Customers!$A$2:$A$11,0)),"")</f>
        <v>Arun</v>
      </c>
      <c r="H2" s="20" t="str">
        <f>IFERROR(INDEX(Customers!$C$2:$C$11,MATCH(C2,Customers!$A$2:$A$11,0)),"")</f>
        <v>Chennai</v>
      </c>
      <c r="I2" s="20" t="str">
        <f>IFERROR(INDEX(Customers!$D$2:$D$11,MATCH(C2,Customers!$A$2:$A$11,0)),"")</f>
        <v>Tamil Nadu</v>
      </c>
      <c r="J2" s="20">
        <f>YEAR(B2)</f>
        <v>2026</v>
      </c>
      <c r="K2" s="20">
        <f>MONTH(B2)</f>
        <v>1</v>
      </c>
      <c r="L2" s="20" t="str">
        <f>IFERROR(INDEX(Products!$B$2:$B$11,MATCH(D2,Products!$A$2:$A$11,0)),"")</f>
        <v>Mobile</v>
      </c>
      <c r="M2" s="20" t="str">
        <f>IFERROR(INDEX(Products!$C$2:$C$11,MATCH(D2,Products!$A$2:$A$11,0)),"")</f>
        <v>Electronics</v>
      </c>
      <c r="N2" s="23">
        <f>IFERROR(INDEX(Products!$D$2:$D$11,MATCH(D2,Products!$A$2:$A$11,0)),0)</f>
        <v>15000</v>
      </c>
      <c r="O2" s="23">
        <f>IFERROR(INDEX(Products!$E$2:$E$11,MATCH(D2,Products!$A$2:$A$11,0)),0)</f>
        <v>18000</v>
      </c>
      <c r="P2" s="20" t="str">
        <f>IFERROR(INDEX(Salesperson!$B$2:$B$6,MATCH(E2,Salesperson!$A$2:$A$6,0)),"")</f>
        <v>Kumar</v>
      </c>
      <c r="Q2" s="23">
        <f>F2*O2</f>
        <v>36000</v>
      </c>
      <c r="R2" s="23">
        <f>F2*N2</f>
        <v>30000</v>
      </c>
      <c r="S2" s="23">
        <f>Q2-R2</f>
        <v>6000</v>
      </c>
      <c r="T2" s="20" t="str">
        <f>TEXT(B2,"mmm")</f>
        <v>Jan</v>
      </c>
      <c r="U2" s="20" t="str">
        <f>"Q"&amp;ROUNDUP(MONTH(B2)/3,0)</f>
        <v>Q1</v>
      </c>
    </row>
    <row r="3" spans="1:21" ht="22.15" customHeight="1">
      <c r="A3" s="20">
        <v>1002</v>
      </c>
      <c r="B3" s="21">
        <v>46023</v>
      </c>
      <c r="C3" s="20" t="s">
        <v>18</v>
      </c>
      <c r="D3" s="20" t="s">
        <v>47</v>
      </c>
      <c r="E3" s="20" t="s">
        <v>67</v>
      </c>
      <c r="F3" s="22">
        <v>1</v>
      </c>
      <c r="G3" s="20" t="str">
        <f>IFERROR(INDEX(Customers!$B$2:$B$11,MATCH(C3,Customers!$A$2:$A$11,0)),"")</f>
        <v>Kiran</v>
      </c>
      <c r="H3" s="20" t="str">
        <f>IFERROR(INDEX(Customers!$C$2:$C$11,MATCH(C3,Customers!$A$2:$A$11,0)),"")</f>
        <v>Kochi</v>
      </c>
      <c r="I3" s="20" t="str">
        <f>IFERROR(INDEX(Customers!$D$2:$D$11,MATCH(C3,Customers!$A$2:$A$11,0)),"")</f>
        <v>Kerala</v>
      </c>
      <c r="J3" s="20">
        <f>YEAR(B3)</f>
        <v>2026</v>
      </c>
      <c r="K3" s="20">
        <f>MONTH(B3)</f>
        <v>1</v>
      </c>
      <c r="L3" s="20" t="str">
        <f>IFERROR(INDEX(Products!$B$2:$B$11,MATCH(D3,Products!$A$2:$A$11,0)),"")</f>
        <v>Chair</v>
      </c>
      <c r="M3" s="20" t="str">
        <f>IFERROR(INDEX(Products!$C$2:$C$11,MATCH(D3,Products!$A$2:$A$11,0)),"")</f>
        <v>Furniture</v>
      </c>
      <c r="N3" s="23">
        <f>IFERROR(INDEX(Products!$D$2:$D$11,MATCH(D3,Products!$A$2:$A$11,0)),0)</f>
        <v>2000</v>
      </c>
      <c r="O3" s="23">
        <f>IFERROR(INDEX(Products!$E$2:$E$11,MATCH(D3,Products!$A$2:$A$11,0)),0)</f>
        <v>2800</v>
      </c>
      <c r="P3" s="20" t="str">
        <f>IFERROR(INDEX(Salesperson!$B$2:$B$6,MATCH(E3,Salesperson!$A$2:$A$6,0)),"")</f>
        <v>Ravi</v>
      </c>
      <c r="Q3" s="23">
        <f>F3*O3</f>
        <v>2800</v>
      </c>
      <c r="R3" s="23">
        <f>F3*N3</f>
        <v>2000</v>
      </c>
      <c r="S3" s="23">
        <f>Q3-R3</f>
        <v>800</v>
      </c>
      <c r="T3" s="20" t="str">
        <f>TEXT(B3,"mmm")</f>
        <v>Jan</v>
      </c>
      <c r="U3" s="20" t="str">
        <f>"Q"&amp;ROUNDUP(MONTH(B3)/3,0)</f>
        <v>Q1</v>
      </c>
    </row>
    <row r="4" spans="1:21" ht="22.15" customHeight="1">
      <c r="A4" s="20">
        <v>1003</v>
      </c>
      <c r="B4" s="21">
        <v>46024</v>
      </c>
      <c r="C4" s="20" t="s">
        <v>12</v>
      </c>
      <c r="D4" s="20" t="s">
        <v>40</v>
      </c>
      <c r="E4" s="20" t="s">
        <v>69</v>
      </c>
      <c r="F4" s="22">
        <v>1</v>
      </c>
      <c r="G4" s="20" t="str">
        <f>IFERROR(INDEX(Customers!$B$2:$B$11,MATCH(C4,Customers!$A$2:$A$11,0)),"")</f>
        <v>Rahul</v>
      </c>
      <c r="H4" s="20" t="str">
        <f>IFERROR(INDEX(Customers!$C$2:$C$11,MATCH(C4,Customers!$A$2:$A$11,0)),"")</f>
        <v>Hyderabad</v>
      </c>
      <c r="I4" s="20" t="str">
        <f>IFERROR(INDEX(Customers!$D$2:$D$11,MATCH(C4,Customers!$A$2:$A$11,0)),"")</f>
        <v>Telangana</v>
      </c>
      <c r="J4" s="20">
        <f>YEAR(B4)</f>
        <v>2026</v>
      </c>
      <c r="K4" s="20">
        <f>MONTH(B4)</f>
        <v>1</v>
      </c>
      <c r="L4" s="20" t="str">
        <f>IFERROR(INDEX(Products!$B$2:$B$11,MATCH(D4,Products!$A$2:$A$11,0)),"")</f>
        <v>Laptop</v>
      </c>
      <c r="M4" s="20" t="str">
        <f>IFERROR(INDEX(Products!$C$2:$C$11,MATCH(D4,Products!$A$2:$A$11,0)),"")</f>
        <v>Electronics</v>
      </c>
      <c r="N4" s="23">
        <f>IFERROR(INDEX(Products!$D$2:$D$11,MATCH(D4,Products!$A$2:$A$11,0)),0)</f>
        <v>45000</v>
      </c>
      <c r="O4" s="23">
        <f>IFERROR(INDEX(Products!$E$2:$E$11,MATCH(D4,Products!$A$2:$A$11,0)),0)</f>
        <v>52000</v>
      </c>
      <c r="P4" s="20" t="str">
        <f>IFERROR(INDEX(Salesperson!$B$2:$B$6,MATCH(E4,Salesperson!$A$2:$A$6,0)),"")</f>
        <v>Ajay</v>
      </c>
      <c r="Q4" s="23">
        <f>F4*O4</f>
        <v>52000</v>
      </c>
      <c r="R4" s="23">
        <f>F4*N4</f>
        <v>45000</v>
      </c>
      <c r="S4" s="23">
        <f>Q4-R4</f>
        <v>7000</v>
      </c>
      <c r="T4" s="20" t="str">
        <f>TEXT(B4,"mmm")</f>
        <v>Jan</v>
      </c>
      <c r="U4" s="20" t="str">
        <f>"Q"&amp;ROUNDUP(MONTH(B4)/3,0)</f>
        <v>Q1</v>
      </c>
    </row>
    <row r="5" spans="1:21" ht="22.15" customHeight="1">
      <c r="A5" s="20">
        <v>1004</v>
      </c>
      <c r="B5" s="21">
        <v>46024</v>
      </c>
      <c r="C5" s="20" t="s">
        <v>16</v>
      </c>
      <c r="D5" s="20" t="s">
        <v>52</v>
      </c>
      <c r="E5" s="20" t="s">
        <v>73</v>
      </c>
      <c r="F5" s="22">
        <v>20</v>
      </c>
      <c r="G5" s="20" t="str">
        <f>IFERROR(INDEX(Customers!$B$2:$B$11,MATCH(C5,Customers!$A$2:$A$11,0)),"")</f>
        <v>Divya</v>
      </c>
      <c r="H5" s="20" t="str">
        <f>IFERROR(INDEX(Customers!$C$2:$C$11,MATCH(C5,Customers!$A$2:$A$11,0)),"")</f>
        <v>Chennai</v>
      </c>
      <c r="I5" s="20" t="str">
        <f>IFERROR(INDEX(Customers!$D$2:$D$11,MATCH(C5,Customers!$A$2:$A$11,0)),"")</f>
        <v>Tamil Nadu</v>
      </c>
      <c r="J5" s="20">
        <f>YEAR(B5)</f>
        <v>2026</v>
      </c>
      <c r="K5" s="20">
        <f>MONTH(B5)</f>
        <v>1</v>
      </c>
      <c r="L5" s="20" t="str">
        <f>IFERROR(INDEX(Products!$B$2:$B$11,MATCH(D5,Products!$A$2:$A$11,0)),"")</f>
        <v>Pen</v>
      </c>
      <c r="M5" s="20" t="str">
        <f>IFERROR(INDEX(Products!$C$2:$C$11,MATCH(D5,Products!$A$2:$A$11,0)),"")</f>
        <v>Stationery</v>
      </c>
      <c r="N5" s="23">
        <f>IFERROR(INDEX(Products!$D$2:$D$11,MATCH(D5,Products!$A$2:$A$11,0)),0)</f>
        <v>10</v>
      </c>
      <c r="O5" s="23">
        <f>IFERROR(INDEX(Products!$E$2:$E$11,MATCH(D5,Products!$A$2:$A$11,0)),0)</f>
        <v>15</v>
      </c>
      <c r="P5" s="20" t="str">
        <f>IFERROR(INDEX(Salesperson!$B$2:$B$6,MATCH(E5,Salesperson!$A$2:$A$6,0)),"")</f>
        <v>Nisha</v>
      </c>
      <c r="Q5" s="23">
        <f>F5*O5</f>
        <v>300</v>
      </c>
      <c r="R5" s="23">
        <f>F5*N5</f>
        <v>200</v>
      </c>
      <c r="S5" s="23">
        <f>Q5-R5</f>
        <v>100</v>
      </c>
      <c r="T5" s="20" t="str">
        <f>TEXT(B5,"mmm")</f>
        <v>Jan</v>
      </c>
      <c r="U5" s="20" t="str">
        <f>"Q"&amp;ROUNDUP(MONTH(B5)/3,0)</f>
        <v>Q1</v>
      </c>
    </row>
    <row r="6" spans="1:21" ht="22.15" customHeight="1">
      <c r="A6" s="20">
        <v>1005</v>
      </c>
      <c r="B6" s="21">
        <v>46025</v>
      </c>
      <c r="C6" s="20" t="s">
        <v>24</v>
      </c>
      <c r="D6" s="20" t="s">
        <v>57</v>
      </c>
      <c r="E6" s="20" t="s">
        <v>71</v>
      </c>
      <c r="F6" s="22">
        <v>3</v>
      </c>
      <c r="G6" s="20" t="str">
        <f>IFERROR(INDEX(Customers!$B$2:$B$11,MATCH(C6,Customers!$A$2:$A$11,0)),"")</f>
        <v>Vignesh</v>
      </c>
      <c r="H6" s="20" t="str">
        <f>IFERROR(INDEX(Customers!$C$2:$C$11,MATCH(C6,Customers!$A$2:$A$11,0)),"")</f>
        <v>Madurai</v>
      </c>
      <c r="I6" s="20" t="str">
        <f>IFERROR(INDEX(Customers!$D$2:$D$11,MATCH(C6,Customers!$A$2:$A$11,0)),"")</f>
        <v>Tamil Nadu</v>
      </c>
      <c r="J6" s="20">
        <f>YEAR(B6)</f>
        <v>2026</v>
      </c>
      <c r="K6" s="20">
        <f>MONTH(B6)</f>
        <v>1</v>
      </c>
      <c r="L6" s="20" t="str">
        <f>IFERROR(INDEX(Products!$B$2:$B$11,MATCH(D6,Products!$A$2:$A$11,0)),"")</f>
        <v>Keyboard</v>
      </c>
      <c r="M6" s="20" t="str">
        <f>IFERROR(INDEX(Products!$C$2:$C$11,MATCH(D6,Products!$A$2:$A$11,0)),"")</f>
        <v>Electronics</v>
      </c>
      <c r="N6" s="23">
        <f>IFERROR(INDEX(Products!$D$2:$D$11,MATCH(D6,Products!$A$2:$A$11,0)),0)</f>
        <v>700</v>
      </c>
      <c r="O6" s="23">
        <f>IFERROR(INDEX(Products!$E$2:$E$11,MATCH(D6,Products!$A$2:$A$11,0)),0)</f>
        <v>900</v>
      </c>
      <c r="P6" s="20" t="str">
        <f>IFERROR(INDEX(Salesperson!$B$2:$B$6,MATCH(E6,Salesperson!$A$2:$A$6,0)),"")</f>
        <v>Deepa</v>
      </c>
      <c r="Q6" s="23">
        <f>F6*O6</f>
        <v>2700</v>
      </c>
      <c r="R6" s="23">
        <f>F6*N6</f>
        <v>2100</v>
      </c>
      <c r="S6" s="23">
        <f>Q6-R6</f>
        <v>600</v>
      </c>
      <c r="T6" s="20" t="str">
        <f>TEXT(B6,"mmm")</f>
        <v>Jan</v>
      </c>
      <c r="U6" s="20" t="str">
        <f>"Q"&amp;ROUNDUP(MONTH(B6)/3,0)</f>
        <v>Q1</v>
      </c>
    </row>
    <row r="7" spans="1:21" ht="14.25" customHeight="1">
      <c r="A7" s="26"/>
      <c r="B7" s="1"/>
      <c r="C7" s="26"/>
      <c r="D7" s="26"/>
      <c r="E7" s="26"/>
      <c r="F7" s="3"/>
      <c r="G7" s="26"/>
      <c r="H7" s="26"/>
      <c r="I7" s="26"/>
      <c r="J7" s="26"/>
      <c r="K7" s="26"/>
      <c r="L7" s="26"/>
      <c r="M7" s="26"/>
      <c r="N7" s="2"/>
      <c r="O7" s="2"/>
      <c r="P7" s="26"/>
      <c r="Q7" s="2"/>
      <c r="R7" s="2"/>
      <c r="S7" s="2"/>
      <c r="T7" s="26"/>
      <c r="U7" s="26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4B942"/>
  </sheetPr>
  <dimension ref="A1:Q10"/>
  <sheetViews>
    <sheetView topLeftCell="F1" workbookViewId="0">
      <pane ySplit="3" topLeftCell="A4" activePane="bottomLeft" state="frozen"/>
      <selection pane="bottomLeft" activeCell="H7" sqref="H7"/>
      <selection sqref="A1:Q2"/>
    </sheetView>
  </sheetViews>
  <sheetFormatPr defaultColWidth="8.7109375" defaultRowHeight="15" customHeight="1"/>
  <cols>
    <col min="1" max="1" width="14.28515625" bestFit="1" customWidth="1"/>
    <col min="2" max="2" width="12.42578125" bestFit="1" customWidth="1"/>
    <col min="3" max="3" width="3" customWidth="1"/>
    <col min="4" max="4" width="14.28515625" bestFit="1" customWidth="1"/>
    <col min="5" max="5" width="12.42578125" bestFit="1" customWidth="1"/>
    <col min="6" max="6" width="3" customWidth="1"/>
    <col min="7" max="7" width="14.28515625" bestFit="1" customWidth="1"/>
    <col min="8" max="8" width="12.42578125" bestFit="1" customWidth="1"/>
    <col min="9" max="9" width="3" customWidth="1"/>
    <col min="10" max="10" width="14.28515625" bestFit="1" customWidth="1"/>
    <col min="11" max="11" width="12.42578125" bestFit="1" customWidth="1"/>
    <col min="12" max="12" width="3" customWidth="1"/>
    <col min="13" max="13" width="14.28515625" bestFit="1" customWidth="1"/>
    <col min="14" max="14" width="12.42578125" bestFit="1" customWidth="1"/>
    <col min="15" max="15" width="3" customWidth="1"/>
    <col min="16" max="16" width="14.28515625" bestFit="1" customWidth="1"/>
    <col min="17" max="17" width="12.85546875" bestFit="1" customWidth="1"/>
  </cols>
  <sheetData>
    <row r="1" spans="1:17" ht="28.15" customHeight="1">
      <c r="A1" s="53" t="s">
        <v>86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5" customHeight="1">
      <c r="A3" s="5" t="s">
        <v>87</v>
      </c>
      <c r="B3" s="5"/>
      <c r="C3" s="4"/>
      <c r="D3" s="6" t="s">
        <v>88</v>
      </c>
      <c r="E3" s="6"/>
      <c r="F3" s="4"/>
      <c r="G3" s="7" t="s">
        <v>89</v>
      </c>
      <c r="H3" s="7"/>
      <c r="I3" s="4"/>
      <c r="J3" s="8" t="s">
        <v>90</v>
      </c>
      <c r="K3" s="8"/>
      <c r="L3" s="4"/>
      <c r="M3" s="9" t="s">
        <v>91</v>
      </c>
      <c r="N3" s="9"/>
      <c r="O3" s="4"/>
      <c r="P3" s="10" t="s">
        <v>92</v>
      </c>
      <c r="Q3" s="10"/>
    </row>
    <row r="4" spans="1:17" ht="15" customHeight="1">
      <c r="A4" s="24" t="s">
        <v>93</v>
      </c>
      <c r="B4" s="26" t="s">
        <v>94</v>
      </c>
      <c r="C4" s="26"/>
      <c r="D4" s="24" t="s">
        <v>93</v>
      </c>
      <c r="E4" s="26" t="s">
        <v>94</v>
      </c>
      <c r="F4" s="26"/>
      <c r="G4" s="24" t="s">
        <v>93</v>
      </c>
      <c r="H4" s="26" t="s">
        <v>94</v>
      </c>
      <c r="I4" s="26"/>
      <c r="J4" s="24" t="s">
        <v>93</v>
      </c>
      <c r="K4" s="26" t="s">
        <v>94</v>
      </c>
      <c r="L4" s="26"/>
      <c r="M4" s="24" t="s">
        <v>93</v>
      </c>
      <c r="N4" s="26" t="s">
        <v>94</v>
      </c>
      <c r="O4" s="26"/>
      <c r="P4" s="24" t="s">
        <v>93</v>
      </c>
      <c r="Q4" s="26" t="s">
        <v>95</v>
      </c>
    </row>
    <row r="5" spans="1:17" ht="15" customHeight="1">
      <c r="A5" s="25" t="s">
        <v>96</v>
      </c>
      <c r="B5" s="2">
        <v>2800</v>
      </c>
      <c r="C5" s="26"/>
      <c r="D5" s="25" t="s">
        <v>49</v>
      </c>
      <c r="E5" s="2">
        <v>2800</v>
      </c>
      <c r="F5" s="26"/>
      <c r="G5" s="25" t="s">
        <v>21</v>
      </c>
      <c r="H5" s="2">
        <v>2800</v>
      </c>
      <c r="I5" s="26"/>
      <c r="J5" s="25" t="s">
        <v>68</v>
      </c>
      <c r="K5" s="2">
        <v>2800</v>
      </c>
      <c r="L5" s="26"/>
      <c r="M5" s="25" t="s">
        <v>48</v>
      </c>
      <c r="N5" s="2">
        <v>2800</v>
      </c>
      <c r="O5" s="26"/>
      <c r="P5" s="25" t="s">
        <v>49</v>
      </c>
      <c r="Q5" s="2">
        <v>800</v>
      </c>
    </row>
    <row r="6" spans="1:17" ht="15" customHeight="1">
      <c r="A6" s="25" t="s">
        <v>97</v>
      </c>
      <c r="B6" s="2">
        <v>2800</v>
      </c>
      <c r="C6" s="26"/>
      <c r="D6" s="25" t="s">
        <v>97</v>
      </c>
      <c r="E6" s="2">
        <v>2800</v>
      </c>
      <c r="F6" s="26"/>
      <c r="G6" s="25" t="s">
        <v>97</v>
      </c>
      <c r="H6" s="2">
        <v>2800</v>
      </c>
      <c r="I6" s="26"/>
      <c r="J6" s="25" t="s">
        <v>97</v>
      </c>
      <c r="K6" s="2">
        <v>2800</v>
      </c>
      <c r="L6" s="26"/>
      <c r="M6" s="25" t="s">
        <v>97</v>
      </c>
      <c r="N6" s="2">
        <v>2800</v>
      </c>
      <c r="O6" s="26"/>
      <c r="P6" s="25" t="s">
        <v>97</v>
      </c>
      <c r="Q6" s="2">
        <v>800</v>
      </c>
    </row>
    <row r="7" spans="1:17" ht="15" customHeigh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</row>
    <row r="8" spans="1:17" ht="1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</row>
    <row r="9" spans="1:17" ht="1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</row>
    <row r="10" spans="1:17" ht="1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</row>
  </sheetData>
  <mergeCells count="1">
    <mergeCell ref="A1:Q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7365D"/>
    <pageSetUpPr fitToPage="1"/>
  </sheetPr>
  <dimension ref="A1:AB70"/>
  <sheetViews>
    <sheetView showGridLines="0" tabSelected="1" workbookViewId="0">
      <pane ySplit="2" topLeftCell="A3" activePane="bottomLeft" state="frozen"/>
      <selection pane="bottomLeft" activeCell="I38" sqref="I38"/>
    </sheetView>
  </sheetViews>
  <sheetFormatPr defaultColWidth="8.7109375" defaultRowHeight="15" customHeight="1"/>
  <cols>
    <col min="1" max="17" width="11" customWidth="1"/>
    <col min="18" max="28" width="11" hidden="1" customWidth="1"/>
  </cols>
  <sheetData>
    <row r="1" spans="1:28" ht="21" customHeight="1">
      <c r="A1" s="49" t="s">
        <v>98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ht="21" customHeigh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spans="1:28" ht="21" customHeight="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ht="21" customHeight="1">
      <c r="A4" s="52" t="s">
        <v>99</v>
      </c>
      <c r="B4" s="43"/>
      <c r="C4" s="43"/>
      <c r="D4" s="44"/>
      <c r="E4" s="42" t="s">
        <v>100</v>
      </c>
      <c r="F4" s="43"/>
      <c r="G4" s="43"/>
      <c r="H4" s="44"/>
      <c r="I4" s="47" t="s">
        <v>101</v>
      </c>
      <c r="J4" s="43"/>
      <c r="K4" s="43"/>
      <c r="L4" s="44"/>
      <c r="M4" s="51" t="s">
        <v>102</v>
      </c>
      <c r="N4" s="43"/>
      <c r="O4" s="43"/>
      <c r="P4" s="43"/>
      <c r="Q4" s="44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 spans="1:28" ht="21" customHeight="1">
      <c r="A5" s="36">
        <f>SUM(Orders!Q2:Q6)</f>
        <v>93800</v>
      </c>
      <c r="B5" s="37"/>
      <c r="C5" s="37"/>
      <c r="D5" s="38"/>
      <c r="E5" s="36">
        <f>SUM(Orders!S2:S6)</f>
        <v>14500</v>
      </c>
      <c r="F5" s="37"/>
      <c r="G5" s="37"/>
      <c r="H5" s="38"/>
      <c r="I5" s="48">
        <f>COUNTA(Orders!A2:A6)</f>
        <v>5</v>
      </c>
      <c r="J5" s="37"/>
      <c r="K5" s="37"/>
      <c r="L5" s="38"/>
      <c r="M5" s="36">
        <f>AVERAGE(Orders!Q2:Q6)</f>
        <v>18760</v>
      </c>
      <c r="N5" s="37"/>
      <c r="O5" s="37"/>
      <c r="P5" s="37"/>
      <c r="Q5" s="38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21" customHeight="1">
      <c r="A6" s="39"/>
      <c r="B6" s="40"/>
      <c r="C6" s="40"/>
      <c r="D6" s="41"/>
      <c r="E6" s="39"/>
      <c r="F6" s="40"/>
      <c r="G6" s="40"/>
      <c r="H6" s="41"/>
      <c r="I6" s="39"/>
      <c r="J6" s="40"/>
      <c r="K6" s="40"/>
      <c r="L6" s="41"/>
      <c r="M6" s="39"/>
      <c r="N6" s="40"/>
      <c r="O6" s="40"/>
      <c r="P6" s="40"/>
      <c r="Q6" s="41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 spans="1:28" ht="21" customHeight="1">
      <c r="A7" s="45" t="s">
        <v>103</v>
      </c>
      <c r="B7" s="43"/>
      <c r="C7" s="43"/>
      <c r="D7" s="44"/>
      <c r="E7" s="46" t="s">
        <v>104</v>
      </c>
      <c r="F7" s="43"/>
      <c r="G7" s="43"/>
      <c r="H7" s="44"/>
      <c r="I7" s="47" t="s">
        <v>105</v>
      </c>
      <c r="J7" s="43"/>
      <c r="K7" s="43"/>
      <c r="L7" s="44"/>
      <c r="M7" s="42" t="s">
        <v>106</v>
      </c>
      <c r="N7" s="43"/>
      <c r="O7" s="43"/>
      <c r="P7" s="43"/>
      <c r="Q7" s="44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 spans="1:28" ht="21" customHeight="1">
      <c r="A8" s="36">
        <f>MAX(Orders!Q2:Q6)</f>
        <v>52000</v>
      </c>
      <c r="B8" s="37"/>
      <c r="C8" s="37"/>
      <c r="D8" s="38"/>
      <c r="E8" s="36">
        <f>MIN(Orders!Q2:Q6)</f>
        <v>300</v>
      </c>
      <c r="F8" s="37"/>
      <c r="G8" s="37"/>
      <c r="H8" s="38"/>
      <c r="I8" s="30" t="str">
        <f>INDEX(Pivot!M4:M9,MATCH(MAX(Pivot!N4:N9),Pivot!N4:N9,0))</f>
        <v>Chair</v>
      </c>
      <c r="J8" s="31"/>
      <c r="K8" s="31"/>
      <c r="L8" s="32"/>
      <c r="M8" s="30" t="str">
        <f>INDEX(Pivot!J4:J9,MATCH(MAX(Pivot!K4:K9),Pivot!K4:K9,0))</f>
        <v>Ravi</v>
      </c>
      <c r="N8" s="31"/>
      <c r="O8" s="31"/>
      <c r="P8" s="31"/>
      <c r="Q8" s="32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 spans="1:28" ht="21" customHeight="1">
      <c r="A9" s="39"/>
      <c r="B9" s="40"/>
      <c r="C9" s="40"/>
      <c r="D9" s="41"/>
      <c r="E9" s="39"/>
      <c r="F9" s="40"/>
      <c r="G9" s="40"/>
      <c r="H9" s="41"/>
      <c r="I9" s="33"/>
      <c r="J9" s="34"/>
      <c r="K9" s="34"/>
      <c r="L9" s="35"/>
      <c r="M9" s="33"/>
      <c r="N9" s="34"/>
      <c r="O9" s="34"/>
      <c r="P9" s="34"/>
      <c r="Q9" s="35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 spans="1:28" ht="21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</row>
    <row r="11" spans="1:28" ht="21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 spans="1:28" ht="21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</row>
    <row r="13" spans="1:28" ht="21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 spans="1:28" ht="18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</row>
    <row r="15" spans="1:28" ht="18" customHeight="1">
      <c r="A15" s="28"/>
      <c r="B15" s="28"/>
      <c r="C15" s="28"/>
      <c r="D15" s="28"/>
      <c r="E15" s="28"/>
      <c r="F15" s="28"/>
      <c r="G15" s="28"/>
      <c r="H15" s="28"/>
      <c r="I15" s="29"/>
      <c r="J15" s="28"/>
      <c r="K15" s="28"/>
      <c r="L15" s="28"/>
      <c r="M15" s="28"/>
      <c r="N15" s="28"/>
      <c r="O15" s="28"/>
      <c r="P15" s="28"/>
      <c r="Q15" s="11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 spans="1:28" ht="18" customHeight="1">
      <c r="A16" s="28"/>
      <c r="B16" s="28"/>
      <c r="C16" s="28"/>
      <c r="D16" s="28"/>
      <c r="E16" s="28"/>
      <c r="F16" s="28"/>
      <c r="G16" s="28"/>
      <c r="H16" s="28"/>
      <c r="I16" s="29"/>
      <c r="J16" s="28"/>
      <c r="K16" s="28"/>
      <c r="L16" s="28"/>
      <c r="M16" s="28"/>
      <c r="N16" s="28"/>
      <c r="O16" s="28"/>
      <c r="P16" s="28"/>
      <c r="Q16" s="11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 spans="1:28" ht="18" customHeight="1">
      <c r="A17" s="28"/>
      <c r="B17" s="28"/>
      <c r="C17" s="28"/>
      <c r="D17" s="28"/>
      <c r="E17" s="28"/>
      <c r="F17" s="28"/>
      <c r="G17" s="28"/>
      <c r="H17" s="28"/>
      <c r="I17" s="29"/>
      <c r="J17" s="28"/>
      <c r="K17" s="28"/>
      <c r="L17" s="28"/>
      <c r="M17" s="28"/>
      <c r="N17" s="28"/>
      <c r="O17" s="28"/>
      <c r="P17" s="28"/>
      <c r="Q17" s="11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 spans="1:28" ht="18" customHeight="1">
      <c r="A18" s="28"/>
      <c r="B18" s="28"/>
      <c r="C18" s="28"/>
      <c r="D18" s="28"/>
      <c r="E18" s="28"/>
      <c r="F18" s="28"/>
      <c r="G18" s="28"/>
      <c r="H18" s="28"/>
      <c r="I18" s="29"/>
      <c r="J18" s="28"/>
      <c r="K18" s="28"/>
      <c r="L18" s="28"/>
      <c r="M18" s="28"/>
      <c r="N18" s="28"/>
      <c r="O18" s="28"/>
      <c r="P18" s="28"/>
      <c r="Q18" s="11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 spans="1:28" ht="18" customHeight="1">
      <c r="A19" s="28"/>
      <c r="B19" s="28"/>
      <c r="C19" s="28"/>
      <c r="D19" s="28"/>
      <c r="E19" s="28"/>
      <c r="F19" s="28"/>
      <c r="G19" s="28"/>
      <c r="H19" s="28"/>
      <c r="I19" s="29"/>
      <c r="J19" s="28"/>
      <c r="K19" s="28"/>
      <c r="L19" s="28"/>
      <c r="M19" s="28"/>
      <c r="N19" s="28"/>
      <c r="O19" s="28"/>
      <c r="P19" s="28"/>
      <c r="Q19" s="11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 spans="1:28" ht="18" customHeight="1">
      <c r="A20" s="28"/>
      <c r="B20" s="28"/>
      <c r="C20" s="28"/>
      <c r="D20" s="28"/>
      <c r="E20" s="28"/>
      <c r="F20" s="28"/>
      <c r="G20" s="28"/>
      <c r="H20" s="28"/>
      <c r="I20" s="29"/>
      <c r="J20" s="28"/>
      <c r="K20" s="28"/>
      <c r="L20" s="28"/>
      <c r="M20" s="28"/>
      <c r="N20" s="28"/>
      <c r="O20" s="28"/>
      <c r="P20" s="28"/>
      <c r="Q20" s="11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spans="1:28" ht="18" customHeight="1">
      <c r="A21" s="28"/>
      <c r="B21" s="28"/>
      <c r="C21" s="28"/>
      <c r="D21" s="28"/>
      <c r="E21" s="28"/>
      <c r="F21" s="28"/>
      <c r="G21" s="28"/>
      <c r="H21" s="28"/>
      <c r="I21" s="29"/>
      <c r="J21" s="28"/>
      <c r="K21" s="28"/>
      <c r="L21" s="28"/>
      <c r="M21" s="28"/>
      <c r="N21" s="28"/>
      <c r="O21" s="28"/>
      <c r="P21" s="28"/>
      <c r="Q21" s="11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 spans="1:28" ht="18" customHeight="1">
      <c r="A22" s="28"/>
      <c r="B22" s="28"/>
      <c r="C22" s="28"/>
      <c r="D22" s="28"/>
      <c r="E22" s="28"/>
      <c r="F22" s="28"/>
      <c r="G22" s="28"/>
      <c r="H22" s="28"/>
      <c r="I22" s="29"/>
      <c r="J22" s="28"/>
      <c r="K22" s="28"/>
      <c r="L22" s="28"/>
      <c r="M22" s="28"/>
      <c r="N22" s="28"/>
      <c r="O22" s="28"/>
      <c r="P22" s="28"/>
      <c r="Q22" s="11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 spans="1:28" ht="18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spans="1:28" ht="18" customHeight="1">
      <c r="A24" s="28"/>
      <c r="B24" s="28"/>
      <c r="C24" s="28"/>
      <c r="D24" s="28"/>
      <c r="E24" s="28"/>
      <c r="F24" s="28"/>
      <c r="G24" s="28"/>
      <c r="H24" s="28"/>
      <c r="I24" s="29"/>
      <c r="J24" s="28"/>
      <c r="K24" s="28"/>
      <c r="L24" s="28"/>
      <c r="M24" s="28"/>
      <c r="N24" s="28"/>
      <c r="O24" s="28"/>
      <c r="P24" s="28"/>
      <c r="Q24" s="11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 spans="1:28" ht="18" customHeight="1">
      <c r="A25" s="28"/>
      <c r="B25" s="28"/>
      <c r="C25" s="28"/>
      <c r="D25" s="28"/>
      <c r="E25" s="28"/>
      <c r="F25" s="28"/>
      <c r="G25" s="28"/>
      <c r="H25" s="28"/>
      <c r="I25" s="29"/>
      <c r="J25" s="28"/>
      <c r="K25" s="28"/>
      <c r="L25" s="28"/>
      <c r="M25" s="28"/>
      <c r="N25" s="28"/>
      <c r="O25" s="28"/>
      <c r="P25" s="28"/>
      <c r="Q25" s="11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 spans="1:28" ht="18" customHeight="1">
      <c r="A26" s="28"/>
      <c r="B26" s="28"/>
      <c r="C26" s="28"/>
      <c r="D26" s="28"/>
      <c r="E26" s="28"/>
      <c r="F26" s="28"/>
      <c r="G26" s="28"/>
      <c r="H26" s="28"/>
      <c r="I26" s="29"/>
      <c r="J26" s="28"/>
      <c r="K26" s="28"/>
      <c r="L26" s="28"/>
      <c r="M26" s="28"/>
      <c r="N26" s="28"/>
      <c r="O26" s="28"/>
      <c r="P26" s="28"/>
      <c r="Q26" s="11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spans="1:28" ht="18" customHeight="1">
      <c r="A27" s="28"/>
      <c r="B27" s="28"/>
      <c r="C27" s="28"/>
      <c r="D27" s="28"/>
      <c r="E27" s="28"/>
      <c r="F27" s="28"/>
      <c r="G27" s="28"/>
      <c r="H27" s="28"/>
      <c r="I27" s="29"/>
      <c r="J27" s="28"/>
      <c r="K27" s="28"/>
      <c r="L27" s="28"/>
      <c r="M27" s="28"/>
      <c r="N27" s="28"/>
      <c r="O27" s="28"/>
      <c r="P27" s="28"/>
      <c r="Q27" s="11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 spans="1:28" ht="18" customHeight="1">
      <c r="A28" s="28"/>
      <c r="B28" s="28"/>
      <c r="C28" s="28"/>
      <c r="D28" s="28"/>
      <c r="E28" s="28"/>
      <c r="F28" s="28"/>
      <c r="G28" s="28"/>
      <c r="H28" s="28"/>
      <c r="I28" s="29"/>
      <c r="J28" s="28"/>
      <c r="K28" s="28"/>
      <c r="L28" s="28"/>
      <c r="M28" s="28"/>
      <c r="N28" s="28"/>
      <c r="O28" s="28"/>
      <c r="P28" s="28"/>
      <c r="Q28" s="11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  <row r="29" spans="1:28" ht="18" customHeight="1">
      <c r="A29" s="28"/>
      <c r="B29" s="28"/>
      <c r="C29" s="28"/>
      <c r="D29" s="28"/>
      <c r="E29" s="28"/>
      <c r="F29" s="28"/>
      <c r="G29" s="28"/>
      <c r="H29" s="28"/>
      <c r="I29" s="29"/>
      <c r="J29" s="28"/>
      <c r="K29" s="28"/>
      <c r="L29" s="28"/>
      <c r="M29" s="28"/>
      <c r="N29" s="28"/>
      <c r="O29" s="28"/>
      <c r="P29" s="28"/>
      <c r="Q29" s="11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 spans="1:28" ht="18" customHeight="1">
      <c r="A30" s="28"/>
      <c r="B30" s="28"/>
      <c r="C30" s="28"/>
      <c r="D30" s="28"/>
      <c r="E30" s="28"/>
      <c r="F30" s="28"/>
      <c r="G30" s="28"/>
      <c r="H30" s="28"/>
      <c r="I30" s="29"/>
      <c r="J30" s="28"/>
      <c r="K30" s="28"/>
      <c r="L30" s="28"/>
      <c r="M30" s="28"/>
      <c r="N30" s="28"/>
      <c r="O30" s="28"/>
      <c r="P30" s="28"/>
      <c r="Q30" s="11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</row>
    <row r="31" spans="1:28" ht="18" customHeight="1">
      <c r="A31" s="28"/>
      <c r="B31" s="28"/>
      <c r="C31" s="28"/>
      <c r="D31" s="28"/>
      <c r="E31" s="28"/>
      <c r="F31" s="28"/>
      <c r="G31" s="28"/>
      <c r="H31" s="28"/>
      <c r="I31" s="29"/>
      <c r="J31" s="28"/>
      <c r="K31" s="28"/>
      <c r="L31" s="28"/>
      <c r="M31" s="28"/>
      <c r="N31" s="28"/>
      <c r="O31" s="28"/>
      <c r="P31" s="28"/>
      <c r="Q31" s="11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</row>
    <row r="32" spans="1:28" ht="18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 spans="1:28" ht="18" customHeight="1">
      <c r="A33" s="28"/>
      <c r="B33" s="28"/>
      <c r="C33" s="28"/>
      <c r="D33" s="28"/>
      <c r="E33" s="28"/>
      <c r="F33" s="28"/>
      <c r="G33" s="28"/>
      <c r="H33" s="28"/>
      <c r="I33" s="29"/>
      <c r="J33" s="28"/>
      <c r="K33" s="28"/>
      <c r="L33" s="28"/>
      <c r="M33" s="28"/>
      <c r="N33" s="28"/>
      <c r="O33" s="28"/>
      <c r="P33" s="28"/>
      <c r="Q33" s="11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</row>
    <row r="34" spans="1:28" ht="18" customHeight="1">
      <c r="A34" s="28"/>
      <c r="B34" s="28"/>
      <c r="C34" s="28"/>
      <c r="D34" s="28"/>
      <c r="E34" s="28"/>
      <c r="F34" s="28"/>
      <c r="G34" s="28"/>
      <c r="H34" s="28"/>
      <c r="I34" s="29"/>
      <c r="J34" s="28"/>
      <c r="K34" s="28"/>
      <c r="L34" s="28"/>
      <c r="M34" s="28"/>
      <c r="N34" s="28"/>
      <c r="O34" s="28"/>
      <c r="P34" s="28"/>
      <c r="Q34" s="11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</row>
    <row r="35" spans="1:28" ht="18" customHeight="1">
      <c r="A35" s="28"/>
      <c r="B35" s="28"/>
      <c r="C35" s="28"/>
      <c r="D35" s="28"/>
      <c r="E35" s="28"/>
      <c r="F35" s="28"/>
      <c r="G35" s="28"/>
      <c r="H35" s="28"/>
      <c r="I35" s="29"/>
      <c r="J35" s="28"/>
      <c r="K35" s="28"/>
      <c r="L35" s="28"/>
      <c r="M35" s="28"/>
      <c r="N35" s="28"/>
      <c r="O35" s="28"/>
      <c r="P35" s="28"/>
      <c r="Q35" s="11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</row>
    <row r="36" spans="1:28" ht="18" customHeight="1">
      <c r="A36" s="28"/>
      <c r="B36" s="28"/>
      <c r="C36" s="28"/>
      <c r="D36" s="28"/>
      <c r="E36" s="28"/>
      <c r="F36" s="28"/>
      <c r="G36" s="28"/>
      <c r="H36" s="28"/>
      <c r="I36" s="29"/>
      <c r="J36" s="28"/>
      <c r="K36" s="28"/>
      <c r="L36" s="28"/>
      <c r="M36" s="28"/>
      <c r="N36" s="28"/>
      <c r="O36" s="28"/>
      <c r="P36" s="28"/>
      <c r="Q36" s="11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</row>
    <row r="37" spans="1:28" ht="18" customHeight="1">
      <c r="A37" s="28"/>
      <c r="B37" s="28"/>
      <c r="C37" s="28"/>
      <c r="D37" s="28"/>
      <c r="E37" s="28"/>
      <c r="F37" s="28"/>
      <c r="G37" s="28"/>
      <c r="H37" s="28"/>
      <c r="I37" s="29"/>
      <c r="J37" s="28"/>
      <c r="K37" s="28"/>
      <c r="L37" s="28"/>
      <c r="M37" s="28"/>
      <c r="N37" s="28"/>
      <c r="O37" s="28"/>
      <c r="P37" s="28"/>
      <c r="Q37" s="11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 spans="1:28" ht="18" customHeight="1">
      <c r="A38" s="28"/>
      <c r="B38" s="28"/>
      <c r="C38" s="28"/>
      <c r="D38" s="28"/>
      <c r="E38" s="28"/>
      <c r="F38" s="28"/>
      <c r="G38" s="28"/>
      <c r="H38" s="28"/>
      <c r="I38" s="29"/>
      <c r="J38" s="28"/>
      <c r="K38" s="28"/>
      <c r="L38" s="28"/>
      <c r="M38" s="28"/>
      <c r="N38" s="28"/>
      <c r="O38" s="28"/>
      <c r="P38" s="28"/>
      <c r="Q38" s="11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</row>
    <row r="39" spans="1:28" ht="18" customHeight="1">
      <c r="A39" s="28"/>
      <c r="B39" s="28"/>
      <c r="C39" s="28"/>
      <c r="D39" s="28"/>
      <c r="E39" s="28"/>
      <c r="F39" s="28"/>
      <c r="G39" s="28"/>
      <c r="H39" s="28"/>
      <c r="I39" s="29"/>
      <c r="J39" s="28"/>
      <c r="K39" s="28"/>
      <c r="L39" s="28"/>
      <c r="M39" s="28"/>
      <c r="N39" s="28"/>
      <c r="O39" s="28"/>
      <c r="P39" s="28"/>
      <c r="Q39" s="11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</row>
    <row r="40" spans="1:28" ht="18" customHeight="1">
      <c r="A40" s="28"/>
      <c r="B40" s="28"/>
      <c r="C40" s="28"/>
      <c r="D40" s="28"/>
      <c r="E40" s="28"/>
      <c r="F40" s="28"/>
      <c r="G40" s="28"/>
      <c r="H40" s="28"/>
      <c r="I40" s="29"/>
      <c r="J40" s="28"/>
      <c r="K40" s="28"/>
      <c r="L40" s="28"/>
      <c r="M40" s="28"/>
      <c r="N40" s="28"/>
      <c r="O40" s="28"/>
      <c r="P40" s="28"/>
      <c r="Q40" s="11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 spans="1:28" ht="18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</row>
    <row r="42" spans="1:28" ht="18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</row>
    <row r="43" spans="1:28" ht="18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 spans="1:28" ht="18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</row>
    <row r="45" spans="1:28" ht="18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</row>
    <row r="46" spans="1:28" ht="18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 spans="1:28" ht="18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</row>
    <row r="48" spans="1:28" ht="18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</row>
    <row r="49" spans="1:28" ht="18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 spans="1:28" ht="18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</row>
    <row r="51" spans="1:28" ht="18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</row>
    <row r="52" spans="1:28" ht="18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 spans="1:28" ht="18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</row>
    <row r="54" spans="1:28" ht="18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  <row r="55" spans="1:28" ht="18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 spans="1:28" ht="18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</row>
    <row r="57" spans="1:28" ht="18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</row>
    <row r="58" spans="1:28" ht="18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 spans="1:28" ht="18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</row>
    <row r="60" spans="1:28" ht="18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 spans="1:28" ht="18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 spans="1:28" ht="18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</row>
    <row r="63" spans="1:28" ht="18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</row>
    <row r="64" spans="1:28" ht="18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 spans="1:28" ht="18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</row>
    <row r="66" spans="1:28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</row>
    <row r="67" spans="1:28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 spans="1:2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</row>
    <row r="69" spans="1:28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</row>
    <row r="70" spans="1:28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</sheetData>
  <mergeCells count="17">
    <mergeCell ref="A1:Q2"/>
    <mergeCell ref="M4:Q4"/>
    <mergeCell ref="A4:D4"/>
    <mergeCell ref="E4:H4"/>
    <mergeCell ref="I4:L4"/>
    <mergeCell ref="M8:Q9"/>
    <mergeCell ref="A5:D6"/>
    <mergeCell ref="I8:L9"/>
    <mergeCell ref="A8:D9"/>
    <mergeCell ref="M7:Q7"/>
    <mergeCell ref="E8:H9"/>
    <mergeCell ref="M5:Q6"/>
    <mergeCell ref="A7:D7"/>
    <mergeCell ref="E7:H7"/>
    <mergeCell ref="I7:L7"/>
    <mergeCell ref="E5:H6"/>
    <mergeCell ref="I5:L6"/>
  </mergeCells>
  <dataValidations count="5">
    <dataValidation type="list" sqref="A9" xr:uid="{00000000-0002-0000-0500-000000000000}">
      <formula1>"All,2026"</formula1>
      <formula2>0</formula2>
    </dataValidation>
    <dataValidation type="list" sqref="C9" xr:uid="{00000000-0002-0000-0500-000001000000}">
      <formula1>"All,Jan,Feb,Mar,Apr,May,Jun,Jul,Aug,Sep,Oct,Nov,Dec"</formula1>
      <formula2>0</formula2>
    </dataValidation>
    <dataValidation type="list" sqref="E9" xr:uid="{00000000-0002-0000-0500-000002000000}">
      <formula1>"All,Electronics,Furniture,Stationery"</formula1>
      <formula2>0</formula2>
    </dataValidation>
    <dataValidation type="list" sqref="G9" xr:uid="{00000000-0002-0000-0500-000003000000}">
      <formula1>"All,Tamil Nadu,Karnataka,Telangana,Kerala"</formula1>
      <formula2>0</formula2>
    </dataValidation>
    <dataValidation type="list" sqref="I9" xr:uid="{00000000-0002-0000-0500-000004000000}">
      <formula1>"All,Kumar,Ravi,Ajay,Deepa,Nisha"</formula1>
      <formula2>0</formula2>
    </dataValidation>
  </dataValidations>
  <pageMargins left="0.15" right="0.15" top="0.2" bottom="0.2" header="0.511811023622047" footer="0.511811023622047"/>
  <pageSetup paperSize="9" scale="46" orientation="landscape" horizontalDpi="300" verticalDpi="30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>0</cp:revision>
  <dcterms:created xsi:type="dcterms:W3CDTF">2026-08-05T07:51:47Z</dcterms:created>
  <dcterms:modified xsi:type="dcterms:W3CDTF">2026-09-22T07:23:46Z</dcterms:modified>
  <cp:category/>
  <cp:contentStatus/>
</cp:coreProperties>
</file>